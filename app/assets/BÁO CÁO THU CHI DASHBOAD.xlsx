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Nhat\OneDrive\Máy tính\"/>
    </mc:Choice>
  </mc:AlternateContent>
  <xr:revisionPtr revIDLastSave="0" documentId="13_ncr:1_{BFCA2DF6-7E65-45BC-9B03-7AA3DF5E212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HU" sheetId="7" r:id="rId1"/>
    <sheet name="CHI" sheetId="5" r:id="rId2"/>
  </sheets>
  <definedNames>
    <definedName name="_xlnm._FilterDatabase" localSheetId="1" hidden="1">CHI!$A$1:$O$292</definedName>
    <definedName name="_xlnm._FilterDatabase" localSheetId="0" hidden="1">THU!$A$1:$AO$31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1" i="7" l="1"/>
  <c r="Z26" i="7"/>
  <c r="Z17" i="7" l="1"/>
  <c r="Z25" i="7"/>
  <c r="W31" i="7"/>
  <c r="Z31" i="7"/>
  <c r="O283" i="5" l="1"/>
  <c r="R17" i="7"/>
  <c r="Y17" i="7" s="1"/>
  <c r="G17" i="7"/>
  <c r="G16" i="7"/>
  <c r="R16" i="7" s="1"/>
  <c r="G15" i="7"/>
  <c r="R15" i="7" s="1"/>
  <c r="G14" i="7"/>
  <c r="R14" i="7" s="1"/>
  <c r="G13" i="7"/>
  <c r="G12" i="7"/>
  <c r="R12" i="7" s="1"/>
  <c r="G11" i="7"/>
  <c r="R11" i="7" s="1"/>
  <c r="G10" i="7"/>
  <c r="R10" i="7" s="1"/>
  <c r="J141" i="5"/>
  <c r="O141" i="5" s="1"/>
  <c r="O226" i="5"/>
  <c r="O225" i="5"/>
  <c r="O224" i="5"/>
  <c r="O223" i="5"/>
  <c r="O222" i="5"/>
  <c r="O221" i="5"/>
  <c r="O220" i="5"/>
  <c r="O219" i="5"/>
  <c r="O218" i="5"/>
  <c r="O217" i="5"/>
  <c r="J209" i="5"/>
  <c r="O209" i="5" s="1"/>
  <c r="O216" i="5"/>
  <c r="O215" i="5"/>
  <c r="O214" i="5"/>
  <c r="O213" i="5"/>
  <c r="O212" i="5"/>
  <c r="O211" i="5"/>
  <c r="J210" i="5"/>
  <c r="O210" i="5" s="1"/>
  <c r="J185" i="5"/>
  <c r="O185" i="5" s="1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J189" i="5"/>
  <c r="O189" i="5" s="1"/>
  <c r="J188" i="5"/>
  <c r="O188" i="5" s="1"/>
  <c r="J187" i="5"/>
  <c r="O187" i="5" s="1"/>
  <c r="J186" i="5"/>
  <c r="O186" i="5" s="1"/>
  <c r="J184" i="5"/>
  <c r="O184" i="5" s="1"/>
  <c r="J183" i="5"/>
  <c r="O183" i="5" s="1"/>
  <c r="J182" i="5"/>
  <c r="O182" i="5" s="1"/>
  <c r="J181" i="5"/>
  <c r="O181" i="5" s="1"/>
  <c r="J180" i="5"/>
  <c r="O180" i="5" s="1"/>
  <c r="J179" i="5"/>
  <c r="O179" i="5" s="1"/>
  <c r="J178" i="5"/>
  <c r="O178" i="5" s="1"/>
  <c r="J177" i="5"/>
  <c r="O177" i="5" s="1"/>
  <c r="J176" i="5"/>
  <c r="O176" i="5" s="1"/>
  <c r="J175" i="5"/>
  <c r="O175" i="5" s="1"/>
  <c r="J174" i="5"/>
  <c r="O174" i="5" s="1"/>
  <c r="L283" i="5"/>
  <c r="O173" i="5"/>
  <c r="J172" i="5"/>
  <c r="O172" i="5" s="1"/>
  <c r="J171" i="5"/>
  <c r="O171" i="5" s="1"/>
  <c r="J170" i="5"/>
  <c r="O170" i="5" s="1"/>
  <c r="J169" i="5"/>
  <c r="O169" i="5" s="1"/>
  <c r="J168" i="5"/>
  <c r="O168" i="5" s="1"/>
  <c r="J167" i="5"/>
  <c r="O167" i="5" s="1"/>
  <c r="J166" i="5"/>
  <c r="O166" i="5" s="1"/>
  <c r="J165" i="5"/>
  <c r="O165" i="5" s="1"/>
  <c r="J164" i="5"/>
  <c r="O164" i="5" s="1"/>
  <c r="J163" i="5"/>
  <c r="O163" i="5" s="1"/>
  <c r="R30" i="7"/>
  <c r="R29" i="7"/>
  <c r="R31" i="7" s="1"/>
  <c r="R28" i="7"/>
  <c r="J154" i="5"/>
  <c r="T17" i="7" l="1"/>
  <c r="W17" i="7"/>
  <c r="R27" i="7"/>
  <c r="R26" i="7"/>
  <c r="W26" i="7" s="1"/>
  <c r="G26" i="7"/>
  <c r="R25" i="7"/>
  <c r="Y25" i="7" s="1"/>
  <c r="G25" i="7"/>
  <c r="G24" i="7"/>
  <c r="R24" i="7" s="1"/>
  <c r="G23" i="7"/>
  <c r="R23" i="7" s="1"/>
  <c r="G22" i="7"/>
  <c r="R22" i="7" s="1"/>
  <c r="G21" i="7"/>
  <c r="G20" i="7"/>
  <c r="R20" i="7" s="1"/>
  <c r="G19" i="7"/>
  <c r="R19" i="7" s="1"/>
  <c r="J142" i="5"/>
  <c r="O142" i="5" s="1"/>
  <c r="J162" i="5"/>
  <c r="O162" i="5" s="1"/>
  <c r="J161" i="5"/>
  <c r="O161" i="5" s="1"/>
  <c r="J160" i="5"/>
  <c r="O160" i="5" s="1"/>
  <c r="J158" i="5"/>
  <c r="O158" i="5" s="1"/>
  <c r="J157" i="5"/>
  <c r="O157" i="5" s="1"/>
  <c r="O156" i="5"/>
  <c r="J155" i="5"/>
  <c r="O155" i="5" s="1"/>
  <c r="O153" i="5"/>
  <c r="J152" i="5"/>
  <c r="O152" i="5" s="1"/>
  <c r="J151" i="5"/>
  <c r="O151" i="5" s="1"/>
  <c r="J150" i="5"/>
  <c r="O150" i="5" s="1"/>
  <c r="J149" i="5"/>
  <c r="O149" i="5" s="1"/>
  <c r="J148" i="5"/>
  <c r="O148" i="5" s="1"/>
  <c r="J147" i="5"/>
  <c r="O147" i="5" s="1"/>
  <c r="J146" i="5"/>
  <c r="O146" i="5" s="1"/>
  <c r="J145" i="5"/>
  <c r="O145" i="5" s="1"/>
  <c r="J144" i="5"/>
  <c r="O144" i="5" s="1"/>
  <c r="J143" i="5"/>
  <c r="O143" i="5" s="1"/>
  <c r="J283" i="5" l="1"/>
  <c r="O154" i="5"/>
  <c r="W25" i="7"/>
  <c r="Y26" i="7"/>
  <c r="T26" i="7"/>
  <c r="T25" i="7"/>
  <c r="P156" i="5"/>
  <c r="P153" i="5" l="1"/>
</calcChain>
</file>

<file path=xl/sharedStrings.xml><?xml version="1.0" encoding="utf-8"?>
<sst xmlns="http://schemas.openxmlformats.org/spreadsheetml/2006/main" count="1775" uniqueCount="375">
  <si>
    <t>STT</t>
  </si>
  <si>
    <t>SỐ GIỜ</t>
  </si>
  <si>
    <t>THÀNH TIỀN</t>
  </si>
  <si>
    <t>SỐ KM</t>
  </si>
  <si>
    <t>TỔNG</t>
  </si>
  <si>
    <t>GHI CHÚ</t>
  </si>
  <si>
    <t>Đỗ Thị Kiều Hạnh</t>
  </si>
  <si>
    <t>Trương Đức Anh</t>
  </si>
  <si>
    <t>Chu Trương Ngọc Huyền</t>
  </si>
  <si>
    <t>Nguyễn Vũ Đức Trí</t>
  </si>
  <si>
    <t>Trịnh Thị Thúy</t>
  </si>
  <si>
    <t>Ngô Thị Phương Thảo</t>
  </si>
  <si>
    <t>Nguyễn Thị Thùy Lan</t>
  </si>
  <si>
    <t>Đặng Vỹ Quốc</t>
  </si>
  <si>
    <t>Phạm Minh Tuấn</t>
  </si>
  <si>
    <t>Nguyễn Vũ Thảo Vy</t>
  </si>
  <si>
    <t>Lê Thị Anh Thu</t>
  </si>
  <si>
    <t>Vũ Ngọc Hiệp</t>
  </si>
  <si>
    <t>Ngô Nguyễn Gia Linh</t>
  </si>
  <si>
    <t>Nguyễn Thiện Phúc</t>
  </si>
  <si>
    <t>Đào Như Ý</t>
  </si>
  <si>
    <t>Phùng Ngọc Thảo</t>
  </si>
  <si>
    <t>Phan Đăng Khoa</t>
  </si>
  <si>
    <t>Vũ Thị Kim Duyên</t>
  </si>
  <si>
    <t>Hoàng Thúy Nga</t>
  </si>
  <si>
    <t>Allanur Tachkakayev</t>
  </si>
  <si>
    <t>Allaberdiyewa Sheker</t>
  </si>
  <si>
    <t>Neethling Jacobus Adriaan</t>
  </si>
  <si>
    <t>Yoldashov Atanazar</t>
  </si>
  <si>
    <t>ĐƠN GIÁ</t>
  </si>
  <si>
    <t>Delano Charles</t>
  </si>
  <si>
    <t>Trương Ngọc Yến Nhi</t>
  </si>
  <si>
    <t>Lê Hàn Sỹ Thiên</t>
  </si>
  <si>
    <t>Trương Đức Anh -TA</t>
  </si>
  <si>
    <t>Nhung sẽ chuyển khoản cho bạn</t>
  </si>
  <si>
    <t>CHỨC VỤ</t>
  </si>
  <si>
    <t>CBNV</t>
  </si>
  <si>
    <t>TA</t>
  </si>
  <si>
    <t>GV</t>
  </si>
  <si>
    <t>LOẠI HD</t>
  </si>
  <si>
    <t>PT</t>
  </si>
  <si>
    <t>FT</t>
  </si>
  <si>
    <t>THÔNG TIN CÔNG NỢ THỰC TẾ</t>
  </si>
  <si>
    <t>TÌNH HÌNH THEO DÕI CÔNG NỢ</t>
  </si>
  <si>
    <t>TỶ LỆ GIỮ HỌC VIÊN</t>
  </si>
  <si>
    <t>THÔNG TIN NHÂN SỰ THAM GIA HỢP ĐỒNG</t>
  </si>
  <si>
    <t>Giá Học phí
(theo HV)</t>
  </si>
  <si>
    <t>Giá Học phí
(theo Lớp)</t>
  </si>
  <si>
    <t>Giá Học phí
(theo Giờ GVBX)</t>
  </si>
  <si>
    <t>Giá Học phí
(theo Giờ GVVN)</t>
  </si>
  <si>
    <t>Số buổi học/tháng
(theo hợp đồng)</t>
  </si>
  <si>
    <t>Sỉ số HV
(50% hp)</t>
  </si>
  <si>
    <t>Sỉ số HV
(40% hp)</t>
  </si>
  <si>
    <t>Sỉ số HV
(30% hp)</t>
  </si>
  <si>
    <t>Free</t>
  </si>
  <si>
    <t>Số buổi 
học/tháng/lớp
(thực tế)</t>
  </si>
  <si>
    <t>Số giờ 
học thực tế 
với GVBX</t>
  </si>
  <si>
    <t>Số giờ 
học thực tế 
với GVVN</t>
  </si>
  <si>
    <t>Tổng 
học phí</t>
  </si>
  <si>
    <t>Tổng 
học phí 
tính trích</t>
  </si>
  <si>
    <t>% trích Trường</t>
  </si>
  <si>
    <t>CSVC và 
phí quản lý</t>
  </si>
  <si>
    <t>% hoặc đơn giá Trích BGH</t>
  </si>
  <si>
    <t>Trích BGH</t>
  </si>
  <si>
    <t>% hoặc giá
trích GVCN</t>
  </si>
  <si>
    <t>Trích 
GVCN</t>
  </si>
  <si>
    <t>Tổng trích 
về trường</t>
  </si>
  <si>
    <t>Thực thu
tại VIC</t>
  </si>
  <si>
    <t>Tiền nộp 
về Trung tâm
(lấy trên EMS)</t>
  </si>
  <si>
    <t>Ngày thu 
Công nợ
(lấy trên EMS)</t>
  </si>
  <si>
    <t>Chênh
lệch</t>
  </si>
  <si>
    <t>Tình trạng
công nợ</t>
  </si>
  <si>
    <t>Số HV 
tháng trước</t>
  </si>
  <si>
    <t>Số HV 
tháng này</t>
  </si>
  <si>
    <t>Tỷ lệ 
Giữ HV</t>
  </si>
  <si>
    <t>Nhân sự 
Chốt Hợp đồng</t>
  </si>
  <si>
    <t>HÌNH THỨC
TRƯỜNG THANH TOÁN HỌC PHÍ</t>
  </si>
  <si>
    <t>HÌNH THỨC
TRÍCH TRƯỜNG</t>
  </si>
  <si>
    <t>HÌNH THỨC
TRÍCH HTRUONG</t>
  </si>
  <si>
    <t>Chương trình</t>
  </si>
  <si>
    <t>Tình trạng
Đối tác</t>
  </si>
  <si>
    <t>Tỷ lệ GV</t>
  </si>
  <si>
    <t>Trường Mầm Non Ánh Sao</t>
  </si>
  <si>
    <t>KHÔNG TRÍCH</t>
  </si>
  <si>
    <t>Mầm non</t>
  </si>
  <si>
    <t>6VN-2NN</t>
  </si>
  <si>
    <t>Trường MN Hồng Phúc</t>
  </si>
  <si>
    <t>8GVVN</t>
  </si>
  <si>
    <t>Trường Mầm Non Ánh Dương</t>
  </si>
  <si>
    <t>Trường MN Sơn Ca</t>
  </si>
  <si>
    <t>Trường MN Mai Anh</t>
  </si>
  <si>
    <t>Trường mầm non Hoa Thuỷ Tiên</t>
  </si>
  <si>
    <t>-</t>
  </si>
  <si>
    <t>Trường mầm non Anh Đào</t>
  </si>
  <si>
    <t>TH-THCS</t>
  </si>
  <si>
    <t>100% GVNN</t>
  </si>
  <si>
    <t>TỔNG CỘNG</t>
  </si>
  <si>
    <t>Trường mầm non Sóc Nâu</t>
  </si>
  <si>
    <t>Trường mầm non Sơn Ca</t>
  </si>
  <si>
    <t>Trường tiểu học Nguyễn An Ninh</t>
  </si>
  <si>
    <t>PC DI CHUYỂN</t>
  </si>
  <si>
    <t>Nhung sẽ chuyển cho bạn</t>
  </si>
  <si>
    <t xml:space="preserve">Nguyễn Thị Thu Liễu </t>
  </si>
  <si>
    <t xml:space="preserve">Nguyễn Vũ Đức Trí </t>
  </si>
  <si>
    <t xml:space="preserve">Trịnh Thị Thúy </t>
  </si>
  <si>
    <t xml:space="preserve">Ngô Thị Phương Thảo </t>
  </si>
  <si>
    <t xml:space="preserve">Nguyễn Vũ Thảo Vy </t>
  </si>
  <si>
    <t>Lê Anh Thư</t>
  </si>
  <si>
    <t>Bù 7 ngày công 09.2025 tại Bông Sen</t>
  </si>
  <si>
    <t>Nguyễn Thị Hồng Nhung</t>
  </si>
  <si>
    <t>Nguyễn Thị Lan Phương</t>
  </si>
  <si>
    <t>HẠNG MỤC</t>
  </si>
  <si>
    <t>Lương</t>
  </si>
  <si>
    <t>Mua sắm</t>
  </si>
  <si>
    <t>Tiền mua nội thất trung tâm</t>
  </si>
  <si>
    <t>Tiền nội thất trung tâm PCCC</t>
  </si>
  <si>
    <t>Tiền VPP 11/2029</t>
  </si>
  <si>
    <t xml:space="preserve">Tiền nội thất phòng chức năng </t>
  </si>
  <si>
    <t>Tiền VPP 11/2025</t>
  </si>
  <si>
    <t>Tiền mua bảng tin phòng chức năng</t>
  </si>
  <si>
    <t>Tiền mua sách song ngữ phòng chức nănng</t>
  </si>
  <si>
    <t>150000/180000</t>
  </si>
  <si>
    <t>Tiền giáo trình, khay mã QR</t>
  </si>
  <si>
    <t>Tiền mua các vật dụng: khay hồ sơ, rổ đựng FC, Giáo cụ</t>
  </si>
  <si>
    <t>Tiền mua bảng</t>
  </si>
  <si>
    <t>Tiền mua giáo cụ</t>
  </si>
  <si>
    <t>Tiền nội thất trung tâm</t>
  </si>
  <si>
    <t>Tiền mua tai nghe Hưng Thịnh</t>
  </si>
  <si>
    <t>Tiền mua ly inoc, FC mẫu giáo, khay hồ sơ</t>
  </si>
  <si>
    <t>Tiền tổ chức tiệc khai trương</t>
  </si>
  <si>
    <t xml:space="preserve">Tiền mua quà tặng </t>
  </si>
  <si>
    <t>Tiền tổ chức Halloween</t>
  </si>
  <si>
    <t>Tiền mua dụng cụ chạy 20/11 tại trường Bông Sen</t>
  </si>
  <si>
    <t>Tiền mua vật dụng PCCC</t>
  </si>
  <si>
    <t>Tiền mua giáo cụ 11/2025</t>
  </si>
  <si>
    <t>Tiền mua VPP 11/2025</t>
  </si>
  <si>
    <t xml:space="preserve">Tiền mua nước bảo vệ </t>
  </si>
  <si>
    <t>Tiền mua giáo trình TAGT</t>
  </si>
  <si>
    <t>KHOẢN CHI</t>
  </si>
  <si>
    <t>Tiền cọc balo</t>
  </si>
  <si>
    <t>Tiền chụp hình</t>
  </si>
  <si>
    <t>Tiền Uyên làm hồ sơ nộp với chức danh GV Hưng Thịnh</t>
  </si>
  <si>
    <t>Tiền in ấn truyền thông, sổ ghi danh</t>
  </si>
  <si>
    <t>Tiền mua sổ a5 chạy DNTU  (hủy lúc sau)</t>
  </si>
  <si>
    <t>In ấn</t>
  </si>
  <si>
    <t>Tiền đặt in khăn trải bàn</t>
  </si>
  <si>
    <t>Tiền mua loa bluetooth, mic trợ giảng</t>
  </si>
  <si>
    <t>Tiền mua vật dụng: khay đựng flyer, VPP, bìa đựng FC</t>
  </si>
  <si>
    <t>Tiền mua vật dụng 11/2025: xịt phòng, bịch đựng rác, nước uống đóng chai</t>
  </si>
  <si>
    <t>Tiền mua vật dụng 11/2025: thùng rác, túi đựng rác, xịt phòng, nước rửa tay, khăn giấy</t>
  </si>
  <si>
    <t>Vũ Trần Phương Uyên</t>
  </si>
  <si>
    <t>Trường TH-THCS Bông Sen</t>
  </si>
  <si>
    <t>100% GVVN</t>
  </si>
  <si>
    <t>VICTRIA HƯNG THỊNH</t>
  </si>
  <si>
    <t>VICTORIA BÔNG SEN</t>
  </si>
  <si>
    <t>VICTORIA TRẢNG DÀI</t>
  </si>
  <si>
    <t>VICTORIA LONG THÀNH</t>
  </si>
  <si>
    <t>VICTORIA HƯNG THỊNH</t>
  </si>
  <si>
    <t>TRUNG TÂM</t>
  </si>
  <si>
    <t>THÁNG</t>
  </si>
  <si>
    <t>Tiền quỹ trung tâm Hưng Thịnh</t>
  </si>
  <si>
    <t>Tiền mua kệ giày phòng a.D và PCCC</t>
  </si>
  <si>
    <t>Tiền mua nội thất phòng chức năng Bông Sen</t>
  </si>
  <si>
    <t>Tiền mua 2 tivi nhà thiếu nhi</t>
  </si>
  <si>
    <t>Tiền mua 2 quạt hơi nước nhà thiếu nhi</t>
  </si>
  <si>
    <t>Tiền photo sách Hưng Thịnh</t>
  </si>
  <si>
    <t>Tiền photo sách PCCC</t>
  </si>
  <si>
    <t>Tiền mua Vim, bánh cúng ông địa Trảng Dài</t>
  </si>
  <si>
    <t>Tiền mua lẵng hoa để bàn tặng DNTU nhân ngày 20/11</t>
  </si>
  <si>
    <t>Tiền mua VPP Trảng Dài</t>
  </si>
  <si>
    <t>Tiền sơn sửa văn phòng PCCC</t>
  </si>
  <si>
    <t>Hoạt động khác</t>
  </si>
  <si>
    <t>Tiền photo sách Safari PCCC</t>
  </si>
  <si>
    <t xml:space="preserve"> Tiền hóa đơn NAN (cần gấp)</t>
  </si>
  <si>
    <t>Tiền photo sách safari Hưng Thịnh</t>
  </si>
  <si>
    <t>Tiền mua cây cảnh, chậu cây cho PCCC và Trảng Dài</t>
  </si>
  <si>
    <t>Tiền mua trái cây tặng NAN nhân ngày 20/11</t>
  </si>
  <si>
    <t>Tiền mua trái cây tặng các trường khu vực</t>
  </si>
  <si>
    <t>Tiền mua bia/nước ngọt đi tiệc trường Bông Sen</t>
  </si>
  <si>
    <t>Tiền mua phim ép dẻo A4</t>
  </si>
  <si>
    <t>Tiền mua thùng giấy A4</t>
  </si>
  <si>
    <t>HO</t>
  </si>
  <si>
    <t>Tiền mua EMAIL</t>
  </si>
  <si>
    <t>Tiền mua máy in</t>
  </si>
  <si>
    <t>Tiền mua đồ cúng ngày 1</t>
  </si>
  <si>
    <t>Tiền mua ổ cứng máy tính</t>
  </si>
  <si>
    <t>Tiền điện 10/2025 Hưng Thịnh</t>
  </si>
  <si>
    <t>Tiền nước 10/2025 Phú Gia 2</t>
  </si>
  <si>
    <t>Tiền in ấn banner mn ánh dương</t>
  </si>
  <si>
    <t>Tiền mua thêm nguyên vật liệu chương trình thời trang 10/11 tại Bông Sen</t>
  </si>
  <si>
    <t>Tiền mua 2 bình nước lọc (mua vỏ bình)</t>
  </si>
  <si>
    <t>TÌNH TRẠNG</t>
  </si>
  <si>
    <t>Đã chi</t>
  </si>
  <si>
    <t>PHỤ TRÁCH</t>
  </si>
  <si>
    <t>A.Đức</t>
  </si>
  <si>
    <t>Nhung</t>
  </si>
  <si>
    <t>Uyên</t>
  </si>
  <si>
    <t>Thảo</t>
  </si>
  <si>
    <t>A.Duy</t>
  </si>
  <si>
    <t>A. Đức</t>
  </si>
  <si>
    <t>Chưa chi</t>
  </si>
  <si>
    <t>Tiền mua hoa tặng các trường mầm non  Long Thành, Sóc Nâu</t>
  </si>
  <si>
    <t>Tiền mua hoa tặng các trường mầm non Sơn Ca, Hoa Mai</t>
  </si>
  <si>
    <t>Tiền hỗ trợ Thảo các tháng hè</t>
  </si>
  <si>
    <t>Tiền mua bọc chân ghế</t>
  </si>
  <si>
    <t>lấy tiền B2B 10/2025 Trảng Bom</t>
  </si>
  <si>
    <t>Tiền mua lẵng hoa tặng trường Lâm Nghiệp sự kiện ngày 20/11 và 21/11</t>
  </si>
  <si>
    <t>Tiền mua kệ sách 2 phòng chức năng Bông Sen</t>
  </si>
  <si>
    <t>Điện, Dịch Vụ Tòa Nhà</t>
  </si>
  <si>
    <t>Tiền nhà 11/2025 trung tâm Phú Gia 2</t>
  </si>
  <si>
    <t>Giao tế</t>
  </si>
  <si>
    <t>Tiền mua vở và giấy gói quà tặng lớp 0 Đ Xuân Lộc</t>
  </si>
  <si>
    <t>Tiền mua giáo cụ 12/2025</t>
  </si>
  <si>
    <t>Đóng tiền cọc mặt bằng Biên Hòa</t>
  </si>
  <si>
    <t>Đóng tiền mặt bằng Biên Hòa</t>
  </si>
  <si>
    <t>Đóng tiền mặt bằng Xuân Lộc</t>
  </si>
  <si>
    <t>Mua quầy tư vấn</t>
  </si>
  <si>
    <t>Mua  kệ trưng bày</t>
  </si>
  <si>
    <t>Mua bàn họp</t>
  </si>
  <si>
    <t>Mua bàn giám đốc</t>
  </si>
  <si>
    <t>Mua ghế xoay nhân viên</t>
  </si>
  <si>
    <t>Mua bàn nhân viên</t>
  </si>
  <si>
    <t>Mua bàn giáo viên</t>
  </si>
  <si>
    <t>Mua ghế xếp học sinh</t>
  </si>
  <si>
    <t>Mua ghế xếp giáo viên (không có mặt bàn)</t>
  </si>
  <si>
    <t>Mua bàn nhựa học sinh</t>
  </si>
  <si>
    <t>Mua ghế nhựa học sinh</t>
  </si>
  <si>
    <t>Mua bảng từ viết bút lông</t>
  </si>
  <si>
    <t>Mua máy in màu</t>
  </si>
  <si>
    <t>Mua máy in trắng đen</t>
  </si>
  <si>
    <t>Mua máy ép dẻo</t>
  </si>
  <si>
    <t>Mượn hồ sơ giáo viên Ms.Chi, Mr.Hiển</t>
  </si>
  <si>
    <t>Mượn hồ sơ giáo viên Ms. Duyên</t>
  </si>
  <si>
    <t>Hỗ trợ học NVSP</t>
  </si>
  <si>
    <t>Đi ngoại giao</t>
  </si>
  <si>
    <t>Hồ sơ công ty lần 1 (thầy Văn Anh)</t>
  </si>
  <si>
    <t>Mua huy hiệu cài áo</t>
  </si>
  <si>
    <t>Mua chổi</t>
  </si>
  <si>
    <t>Mua  bộ lau nhà</t>
  </si>
  <si>
    <t>Mua khăn giấy</t>
  </si>
  <si>
    <t>Mua găng tay cao su</t>
  </si>
  <si>
    <t>Mua Vim</t>
  </si>
  <si>
    <t>Mua cọ chà bồn cầu</t>
  </si>
  <si>
    <t>Mua xịt phòng</t>
  </si>
  <si>
    <t>Mua cây quét mạng nhện</t>
  </si>
  <si>
    <t>Mua ky hốt rác</t>
  </si>
  <si>
    <t>Mua chổi lông gà</t>
  </si>
  <si>
    <t>Mua thùng rác</t>
  </si>
  <si>
    <t>Mua túi đựng rác</t>
  </si>
  <si>
    <t>Mua Lifebuoy</t>
  </si>
  <si>
    <t>Mua Cây xanh văn phòng Biên Hòa</t>
  </si>
  <si>
    <t>Mua máy tính bàn văn phòng Biên Hòa, Trảng bom</t>
  </si>
  <si>
    <t>Mua máy lạnh văn phòng Biên Hòa</t>
  </si>
  <si>
    <t>Mua văn phòng phẩm Biên Hòa: giấy, bìa hồ sơ, dụng cụ học tập,...</t>
  </si>
  <si>
    <t>Trái cây cúng văn phòng Trảng Bom</t>
  </si>
  <si>
    <t>Mua đồ cúng văn phòng Trảng Bom</t>
  </si>
  <si>
    <t>Mua VPP shopee (kệ hồ sơ, bút,...)</t>
  </si>
  <si>
    <t>Mua giấy cứng</t>
  </si>
  <si>
    <t>Mua VPP kim khánh (bút lông, sổ, giấy...)</t>
  </si>
  <si>
    <t>Mua thùng rác, lau nhà, khăn, nước lau nhà,...</t>
  </si>
  <si>
    <t>Mua cây xanh văn phòng Trảng Bom</t>
  </si>
  <si>
    <t>Mua nước mời các cô trường Bông Sen</t>
  </si>
  <si>
    <t>Mua VPP shopee (băng keo, ghim bấm, kệ bút, ...)</t>
  </si>
  <si>
    <t>Mua phim ép dẻo</t>
  </si>
  <si>
    <t>Mua ổ khóa</t>
  </si>
  <si>
    <t>Mua loa bluetooth</t>
  </si>
  <si>
    <t>Lương 06/2025 giáo viên Đỗ Thị Kiều Hạnh</t>
  </si>
  <si>
    <t>Mua giấy mềm</t>
  </si>
  <si>
    <t>Lương 06/2025 giáo viên Trương Đức Anh</t>
  </si>
  <si>
    <t>Phim ép dẻo</t>
  </si>
  <si>
    <t>Lương 06/2025 giáo viên Rigina</t>
  </si>
  <si>
    <t>Mua giấy cứng trắng</t>
  </si>
  <si>
    <t>Mua chìa khóa cửa cuốn</t>
  </si>
  <si>
    <t>Lương 06/2025 giáo viên Lê Anh Thư</t>
  </si>
  <si>
    <t>Lương 06/2025 giáo viên Nguyễn Lưu Bá Hồ</t>
  </si>
  <si>
    <t>Lương 06/2025 trợ giảng Trương Đức Anh</t>
  </si>
  <si>
    <t>Lương 06/2025 trợ giảng Nguyễn Vũ Thảo Vy</t>
  </si>
  <si>
    <t>Mua đồ điện</t>
  </si>
  <si>
    <t>Lắp đặt máy lạnh</t>
  </si>
  <si>
    <t>Dán phòng giám đốc</t>
  </si>
  <si>
    <t>Hồ sơ công ty lần 2 (thầy Văn Anh)</t>
  </si>
  <si>
    <t>In ấn phong bì, folder</t>
  </si>
  <si>
    <t>Lắp đặt wifi 6 tháng</t>
  </si>
  <si>
    <t>Hồ sơ công ty lần 3 (cô Dung)</t>
  </si>
  <si>
    <t>Đóng tiền cọc mặt bằng Xuân Lộc</t>
  </si>
  <si>
    <t>DOTB</t>
  </si>
  <si>
    <t>Tiền điện 07/2025</t>
  </si>
  <si>
    <t>Hồ sơ PCCC Biên Hòa (1)</t>
  </si>
  <si>
    <t>Hồ sơ PCCC Biên Hòa (2)</t>
  </si>
  <si>
    <t>Photo 5 bộ hồ sơ thẩm định</t>
  </si>
  <si>
    <t>Bìa folder</t>
  </si>
  <si>
    <t>Tiền in đóng cuốn hồ sơ</t>
  </si>
  <si>
    <t>Tiền mua giáo trình (sách giáo khoa+bài tập), bao bì, rổ đựng flashcards, khay đựng giáo trình</t>
  </si>
  <si>
    <t>Tiền mua vật dụng: thùng rác, bao đựng rác, chổi quét sân</t>
  </si>
  <si>
    <t>Tiền mua cây xanh: 1 cây hạnh phúc, 1 cây kim tiền, đất, chậu</t>
  </si>
  <si>
    <t>Tiền tiếp đoàn thẩm định SGD</t>
  </si>
  <si>
    <t>Tiền in flashcards giáo trình Ollie 1,2,3</t>
  </si>
  <si>
    <t>Tiền mua hoa+trái cây+nước suối tiếp đoàn</t>
  </si>
  <si>
    <t>Tiền mua 1 cái tivi</t>
  </si>
  <si>
    <t>Tiền in bảng hiệu mặt bằng Biên Hòa</t>
  </si>
  <si>
    <t>Hồ sơ công ty lần 4 (thầy Văn Anh)</t>
  </si>
  <si>
    <t>Hồ sơ công ty lần 5 (thầy Văn Anh)</t>
  </si>
  <si>
    <t>Tặng hoa khai giảng trường Nguyễn An Ninh</t>
  </si>
  <si>
    <t>Tiền mật ong thầy Văn Anh</t>
  </si>
  <si>
    <t>Tiền in bảng hiệu trường Bông Sen</t>
  </si>
  <si>
    <t>Tiền mua giáo cụ trung tâm Biên Hòa</t>
  </si>
  <si>
    <t>Tiền mua tranh dán tường phòng học Biên Hòa</t>
  </si>
  <si>
    <t>Tiền điện 08/2025</t>
  </si>
  <si>
    <t>Tiền nước tháng 6,7,8/2025</t>
  </si>
  <si>
    <t>Tiền hoa khai giảng Xuân Lộc</t>
  </si>
  <si>
    <t>Tiền hoa khai giảng Trảng Bom</t>
  </si>
  <si>
    <t>Tiền giao tế Giáo viên họp 05/09</t>
  </si>
  <si>
    <t>Tiền gấu bông Victoria (100 con)</t>
  </si>
  <si>
    <t>Tiền túi Victoria (500 cái)</t>
  </si>
  <si>
    <t>Tiền bong bóng Victoria (3000 cái+que)</t>
  </si>
  <si>
    <t>Tiền VPP công ty cho 10/2025 (lấy đợt 1)</t>
  </si>
  <si>
    <t>Tiền mua đồ bơm bong bóng</t>
  </si>
  <si>
    <t>Tiền làm mộc trung tâm Trảng Dài</t>
  </si>
  <si>
    <t>Tiền mua VPP công ty cho 10/2025 (lấy đợt 2)</t>
  </si>
  <si>
    <t>Đóng tiền nhà mặt bằng Biên Hòa (20/09-20/10)</t>
  </si>
  <si>
    <t>Tiền mua máy ép dẻo trung tâm Biên Hòa</t>
  </si>
  <si>
    <t>Giáo trình</t>
  </si>
  <si>
    <t>Quà tặng</t>
  </si>
  <si>
    <t>Nước bình</t>
  </si>
  <si>
    <t>Tiền thùng nước suối cho Trảng Bom</t>
  </si>
  <si>
    <t>Cúng khai trương</t>
  </si>
  <si>
    <t>Mua ly inoc uống nước</t>
  </si>
  <si>
    <t>Mua giấy gói quà+ruy băng</t>
  </si>
  <si>
    <t>Mua ép dẻo (5 xấp)</t>
  </si>
  <si>
    <t>Tiền điện 9/2025</t>
  </si>
  <si>
    <t>Thuê Văn Phòng</t>
  </si>
  <si>
    <t>Trang Thiết Bị VP</t>
  </si>
  <si>
    <t>Hỗ trợ hồ sơ</t>
  </si>
  <si>
    <t>Hỗ Trợ Đào Tạo</t>
  </si>
  <si>
    <t>Hoạt Động Khác</t>
  </si>
  <si>
    <t>Văn Phòng Phẩm</t>
  </si>
  <si>
    <t>In Ấn, Công Chứng</t>
  </si>
  <si>
    <t>Vy</t>
  </si>
  <si>
    <t>VICTORIA XUÂN LỘC</t>
  </si>
  <si>
    <t>Tiền cô Thanh NAN</t>
  </si>
  <si>
    <t>Mua bàn giáo viên, ghế khách quầy tư vấn</t>
  </si>
  <si>
    <t>Tiền VPP 12/2025</t>
  </si>
  <si>
    <t>Tiền mua nước suối và nước rửa tay</t>
  </si>
  <si>
    <t>Tiền hồ sơ GV Long Thành</t>
  </si>
  <si>
    <t>Tiền mua mực in màu VPP cho 10/2025</t>
  </si>
  <si>
    <t>Tiền mua mực in màu</t>
  </si>
  <si>
    <t>Tiền mua đồ PCCC</t>
  </si>
  <si>
    <t xml:space="preserve">Tiền mua đồ PCCC </t>
  </si>
  <si>
    <t>Tiền Giáo cụ 10/2025</t>
  </si>
  <si>
    <t>Tiền mua mới cục máy in trắng đen</t>
  </si>
  <si>
    <t>Tiền sạc máy in trắng đen</t>
  </si>
  <si>
    <t>Tiền mua Mực con dấu</t>
  </si>
  <si>
    <t>Tiền mua mì từ thiện</t>
  </si>
  <si>
    <t>Tiền VPP 12/2025 (lần 2)</t>
  </si>
  <si>
    <t>Tiền VPP 12/2025 (lần 1)</t>
  </si>
  <si>
    <t>Tiền 20/11 GV</t>
  </si>
  <si>
    <t>TÊN ĐỐI TÁC</t>
  </si>
  <si>
    <t>SỐ LỚP</t>
  </si>
  <si>
    <t>SỐ HỌC SINH (100% hp)</t>
  </si>
  <si>
    <t>Chuyển Khoản</t>
  </si>
  <si>
    <t>Tiền Mặt</t>
  </si>
  <si>
    <t>Chuyển khoản</t>
  </si>
  <si>
    <t xml:space="preserve">Trường Mầm Non Ánh Sao </t>
  </si>
  <si>
    <t>8</t>
  </si>
  <si>
    <t>Đã thu</t>
  </si>
  <si>
    <t>CK</t>
  </si>
  <si>
    <t>DT cũ</t>
  </si>
  <si>
    <t>6GVVN-2GVNN</t>
  </si>
  <si>
    <t>Trường Mầm Non Hồng Phúc</t>
  </si>
  <si>
    <t>6</t>
  </si>
  <si>
    <t>4</t>
  </si>
  <si>
    <t>TM</t>
  </si>
  <si>
    <t>2</t>
  </si>
  <si>
    <t>Tiền mua dụng cụ 12/2025: Thùng rác, bịch rác, nước lau sàn, khăn giấy</t>
  </si>
  <si>
    <t>Tiền mua dụng cụ 12/2025: Nước rửa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</si>
</sst>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  <numFmt numFmtId="166" formatCode="#,##0\ _₫"/>
    <numFmt numFmtId="167" formatCode="_(* #,##0_);_(* \(#,##0\);_(* &quot;-&quot;??_);_(@_)"/>
  </numFmts>
  <fonts count="15">
    <font>
      <sz val="11"/>
      <color theme="1"/>
      <name val="Arial"/>
      <charset val="134"/>
      <scheme val="minor"/>
    </font>
    <font>
      <sz val="12"/>
      <color theme="1"/>
      <name val="Times New Roman"/>
      <family val="1"/>
      <scheme val="major"/>
    </font>
    <font>
      <b/>
      <sz val="12"/>
      <color theme="0"/>
      <name val="Times New Roman"/>
      <family val="1"/>
      <scheme val="maj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11"/>
      <color theme="1"/>
      <name val="Times New Roman"/>
      <family val="1"/>
    </font>
    <font>
      <b/>
      <sz val="12"/>
      <name val="Times New Roman"/>
      <family val="1"/>
      <scheme val="major"/>
    </font>
    <font>
      <sz val="12"/>
      <name val="Times New Roman"/>
      <family val="1"/>
      <scheme val="major"/>
    </font>
    <font>
      <sz val="1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70C0"/>
      <name val="Times New Roman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 style="thin">
        <color auto="1"/>
      </top>
      <bottom style="medium">
        <color rgb="FFCCCCCC"/>
      </bottom>
      <diagonal/>
    </border>
    <border>
      <left/>
      <right/>
      <top style="thin">
        <color auto="1"/>
      </top>
      <bottom style="medium">
        <color rgb="FFCCCCCC"/>
      </bottom>
      <diagonal/>
    </border>
    <border>
      <left/>
      <right style="medium">
        <color rgb="FFCCCCCC"/>
      </right>
      <top style="thin">
        <color auto="1"/>
      </top>
      <bottom style="medium">
        <color rgb="FFCCCCCC"/>
      </bottom>
      <diagonal/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  <diagonal/>
    </border>
    <border>
      <left style="thin">
        <color rgb="FF274E13"/>
      </left>
      <right style="thin">
        <color rgb="FF274E13"/>
      </right>
      <top style="thin">
        <color rgb="FF274E1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74E13"/>
      </left>
      <right style="thin">
        <color rgb="FF274E13"/>
      </right>
      <top/>
      <bottom style="thin">
        <color rgb="FF274E1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200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2" borderId="0" xfId="0" applyFont="1" applyFill="1">
      <alignment vertical="center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3" fontId="2" fillId="3" borderId="2" xfId="0" applyNumberFormat="1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2" borderId="4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4" fillId="2" borderId="0" xfId="0" applyFont="1" applyFill="1">
      <alignment vertic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/>
    <xf numFmtId="0" fontId="5" fillId="2" borderId="0" xfId="0" applyFont="1" applyFill="1" applyAlignment="1"/>
    <xf numFmtId="0" fontId="0" fillId="0" borderId="0" xfId="0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1" applyNumberFormat="1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164" fontId="1" fillId="2" borderId="2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3" fontId="1" fillId="2" borderId="2" xfId="0" applyNumberFormat="1" applyFont="1" applyFill="1" applyBorder="1" applyAlignment="1">
      <alignment horizontal="center" vertical="center" wrapText="1" readingOrder="1"/>
    </xf>
    <xf numFmtId="3" fontId="4" fillId="2" borderId="2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3" fontId="1" fillId="2" borderId="5" xfId="0" applyNumberFormat="1" applyFont="1" applyFill="1" applyBorder="1" applyAlignment="1">
      <alignment horizontal="center" vertical="center" wrapText="1" readingOrder="1"/>
    </xf>
    <xf numFmtId="164" fontId="4" fillId="2" borderId="5" xfId="1" applyNumberFormat="1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vertical="center" wrapText="1" readingOrder="1"/>
    </xf>
    <xf numFmtId="164" fontId="4" fillId="2" borderId="6" xfId="1" applyNumberFormat="1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3" fontId="4" fillId="2" borderId="6" xfId="0" applyNumberFormat="1" applyFont="1" applyFill="1" applyBorder="1" applyAlignment="1">
      <alignment horizontal="center" vertical="center" wrapText="1" readingOrder="1"/>
    </xf>
    <xf numFmtId="164" fontId="4" fillId="0" borderId="1" xfId="1" applyNumberFormat="1" applyFont="1" applyBorder="1" applyAlignment="1">
      <alignment vertical="center" wrapText="1" readingOrder="1"/>
    </xf>
    <xf numFmtId="166" fontId="1" fillId="2" borderId="2" xfId="0" applyNumberFormat="1" applyFont="1" applyFill="1" applyBorder="1" applyAlignment="1">
      <alignment horizontal="center" vertical="center" wrapText="1" readingOrder="1"/>
    </xf>
    <xf numFmtId="164" fontId="6" fillId="2" borderId="2" xfId="1" applyNumberFormat="1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/>
    <xf numFmtId="164" fontId="1" fillId="2" borderId="2" xfId="1" applyNumberFormat="1" applyFont="1" applyFill="1" applyBorder="1" applyAlignment="1">
      <alignment horizontal="center" vertical="center" wrapText="1" readingOrder="1"/>
    </xf>
    <xf numFmtId="164" fontId="1" fillId="2" borderId="6" xfId="1" applyNumberFormat="1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right" vertical="center" wrapText="1" readingOrder="1"/>
    </xf>
    <xf numFmtId="164" fontId="4" fillId="2" borderId="2" xfId="1" applyNumberFormat="1" applyFont="1" applyFill="1" applyBorder="1" applyAlignment="1">
      <alignment horizontal="right" vertical="center" wrapText="1" readingOrder="1"/>
    </xf>
    <xf numFmtId="0" fontId="1" fillId="2" borderId="2" xfId="0" applyFont="1" applyFill="1" applyBorder="1" applyAlignment="1">
      <alignment horizontal="right" vertical="center" wrapText="1" readingOrder="1"/>
    </xf>
    <xf numFmtId="164" fontId="7" fillId="2" borderId="2" xfId="1" applyNumberFormat="1" applyFont="1" applyFill="1" applyBorder="1" applyAlignment="1">
      <alignment horizontal="right" vertical="center" wrapText="1" readingOrder="1"/>
    </xf>
    <xf numFmtId="164" fontId="1" fillId="2" borderId="2" xfId="1" applyNumberFormat="1" applyFont="1" applyFill="1" applyBorder="1" applyAlignment="1">
      <alignment horizontal="right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164" fontId="1" fillId="2" borderId="6" xfId="1" applyNumberFormat="1" applyFont="1" applyFill="1" applyBorder="1" applyAlignment="1">
      <alignment horizontal="right" vertical="center" wrapText="1" readingOrder="1"/>
    </xf>
    <xf numFmtId="0" fontId="1" fillId="2" borderId="6" xfId="0" applyFont="1" applyFill="1" applyBorder="1" applyAlignment="1">
      <alignment vertical="center" wrapText="1" readingOrder="1"/>
    </xf>
    <xf numFmtId="0" fontId="9" fillId="2" borderId="2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3" fontId="10" fillId="8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 wrapText="1" readingOrder="1"/>
    </xf>
    <xf numFmtId="164" fontId="4" fillId="2" borderId="5" xfId="0" applyNumberFormat="1" applyFont="1" applyFill="1" applyBorder="1" applyAlignment="1">
      <alignment horizontal="right" vertical="center" wrapText="1" readingOrder="1"/>
    </xf>
    <xf numFmtId="3" fontId="4" fillId="2" borderId="2" xfId="0" applyNumberFormat="1" applyFont="1" applyFill="1" applyBorder="1" applyAlignment="1">
      <alignment horizontal="right" vertical="center" wrapText="1" readingOrder="1"/>
    </xf>
    <xf numFmtId="164" fontId="4" fillId="2" borderId="6" xfId="0" applyNumberFormat="1" applyFont="1" applyFill="1" applyBorder="1" applyAlignment="1">
      <alignment horizontal="right" vertical="center" wrapText="1" readingOrder="1"/>
    </xf>
    <xf numFmtId="3" fontId="2" fillId="3" borderId="2" xfId="0" applyNumberFormat="1" applyFont="1" applyFill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3" fontId="10" fillId="8" borderId="5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 wrapText="1" readingOrder="1"/>
    </xf>
    <xf numFmtId="0" fontId="1" fillId="2" borderId="9" xfId="0" applyFont="1" applyFill="1" applyBorder="1" applyAlignment="1">
      <alignment vertical="center" wrapText="1" readingOrder="1"/>
    </xf>
    <xf numFmtId="3" fontId="4" fillId="2" borderId="8" xfId="0" applyNumberFormat="1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left" vertical="center" wrapText="1" readingOrder="1"/>
    </xf>
    <xf numFmtId="0" fontId="4" fillId="2" borderId="12" xfId="0" applyFont="1" applyFill="1" applyBorder="1" applyAlignment="1">
      <alignment horizontal="left" vertical="center" wrapText="1" readingOrder="1"/>
    </xf>
    <xf numFmtId="0" fontId="9" fillId="8" borderId="14" xfId="0" applyFont="1" applyFill="1" applyBorder="1" applyAlignment="1">
      <alignment horizontal="center"/>
    </xf>
    <xf numFmtId="0" fontId="9" fillId="8" borderId="14" xfId="0" applyFont="1" applyFill="1" applyBorder="1" applyAlignment="1"/>
    <xf numFmtId="0" fontId="9" fillId="2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left"/>
    </xf>
    <xf numFmtId="0" fontId="9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left" vertical="center"/>
    </xf>
    <xf numFmtId="0" fontId="9" fillId="8" borderId="1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center" vertical="center"/>
    </xf>
    <xf numFmtId="0" fontId="9" fillId="8" borderId="16" xfId="0" applyFont="1" applyFill="1" applyBorder="1">
      <alignment vertical="center"/>
    </xf>
    <xf numFmtId="0" fontId="9" fillId="8" borderId="21" xfId="0" applyFont="1" applyFill="1" applyBorder="1">
      <alignment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2" xfId="0" applyFont="1" applyFill="1" applyBorder="1">
      <alignment vertical="center"/>
    </xf>
    <xf numFmtId="0" fontId="9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 vertical="center"/>
    </xf>
    <xf numFmtId="0" fontId="9" fillId="8" borderId="22" xfId="0" applyFont="1" applyFill="1" applyBorder="1">
      <alignment vertical="center"/>
    </xf>
    <xf numFmtId="0" fontId="9" fillId="8" borderId="23" xfId="0" applyFont="1" applyFill="1" applyBorder="1" applyAlignment="1">
      <alignment horizontal="center"/>
    </xf>
    <xf numFmtId="0" fontId="9" fillId="8" borderId="22" xfId="0" applyFont="1" applyFill="1" applyBorder="1" applyAlignment="1">
      <alignment horizontal="center" vertical="center"/>
    </xf>
    <xf numFmtId="0" fontId="9" fillId="8" borderId="5" xfId="0" applyFont="1" applyFill="1" applyBorder="1">
      <alignment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2" xfId="0" applyFont="1" applyFill="1" applyBorder="1" applyAlignment="1"/>
    <xf numFmtId="0" fontId="9" fillId="8" borderId="19" xfId="0" applyFont="1" applyFill="1" applyBorder="1" applyAlignment="1">
      <alignment horizontal="center" vertical="center"/>
    </xf>
    <xf numFmtId="0" fontId="9" fillId="8" borderId="5" xfId="0" applyFont="1" applyFill="1" applyBorder="1" applyAlignment="1"/>
    <xf numFmtId="0" fontId="9" fillId="8" borderId="2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wrapText="1" readingOrder="1"/>
    </xf>
    <xf numFmtId="0" fontId="4" fillId="2" borderId="13" xfId="0" applyFont="1" applyFill="1" applyBorder="1" applyAlignment="1">
      <alignment horizontal="right" vertical="center" wrapText="1" readingOrder="1"/>
    </xf>
    <xf numFmtId="3" fontId="10" fillId="8" borderId="14" xfId="0" applyNumberFormat="1" applyFont="1" applyFill="1" applyBorder="1" applyAlignment="1">
      <alignment horizontal="right"/>
    </xf>
    <xf numFmtId="3" fontId="10" fillId="8" borderId="14" xfId="0" applyNumberFormat="1" applyFont="1" applyFill="1" applyBorder="1" applyAlignment="1">
      <alignment horizontal="right" vertical="center"/>
    </xf>
    <xf numFmtId="3" fontId="10" fillId="8" borderId="15" xfId="0" applyNumberFormat="1" applyFont="1" applyFill="1" applyBorder="1" applyAlignment="1">
      <alignment horizontal="right" vertical="center"/>
    </xf>
    <xf numFmtId="3" fontId="10" fillId="8" borderId="16" xfId="0" applyNumberFormat="1" applyFont="1" applyFill="1" applyBorder="1" applyAlignment="1">
      <alignment horizontal="right" vertical="center"/>
    </xf>
    <xf numFmtId="3" fontId="10" fillId="8" borderId="21" xfId="0" applyNumberFormat="1" applyFont="1" applyFill="1" applyBorder="1" applyAlignment="1">
      <alignment horizontal="right" vertical="center"/>
    </xf>
    <xf numFmtId="3" fontId="10" fillId="8" borderId="22" xfId="0" applyNumberFormat="1" applyFont="1" applyFill="1" applyBorder="1" applyAlignment="1">
      <alignment horizontal="right" vertical="center"/>
    </xf>
    <xf numFmtId="3" fontId="10" fillId="8" borderId="25" xfId="0" applyNumberFormat="1" applyFont="1" applyFill="1" applyBorder="1" applyAlignment="1">
      <alignment horizontal="right" vertical="center"/>
    </xf>
    <xf numFmtId="3" fontId="10" fillId="8" borderId="26" xfId="0" applyNumberFormat="1" applyFont="1" applyFill="1" applyBorder="1" applyAlignment="1">
      <alignment horizontal="right" vertical="center"/>
    </xf>
    <xf numFmtId="0" fontId="12" fillId="2" borderId="0" xfId="0" applyFont="1" applyFill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0" fontId="11" fillId="2" borderId="2" xfId="0" applyFont="1" applyFill="1" applyBorder="1" applyAlignment="1">
      <alignment horizontal="left"/>
    </xf>
    <xf numFmtId="0" fontId="9" fillId="8" borderId="6" xfId="0" applyFont="1" applyFill="1" applyBorder="1">
      <alignment vertical="center"/>
    </xf>
    <xf numFmtId="0" fontId="9" fillId="8" borderId="6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 vertical="center"/>
    </xf>
    <xf numFmtId="3" fontId="10" fillId="8" borderId="24" xfId="0" applyNumberFormat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left"/>
    </xf>
    <xf numFmtId="0" fontId="5" fillId="0" borderId="0" xfId="0" applyFont="1">
      <alignment vertical="center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 readingOrder="1"/>
    </xf>
    <xf numFmtId="0" fontId="1" fillId="7" borderId="2" xfId="0" applyFont="1" applyFill="1" applyBorder="1" applyAlignment="1">
      <alignment horizontal="center" wrapText="1" readingOrder="1"/>
    </xf>
    <xf numFmtId="0" fontId="7" fillId="4" borderId="2" xfId="0" applyFont="1" applyFill="1" applyBorder="1" applyAlignment="1">
      <alignment horizontal="center" wrapText="1" readingOrder="1"/>
    </xf>
    <xf numFmtId="0" fontId="0" fillId="0" borderId="0" xfId="0" applyAlignment="1"/>
    <xf numFmtId="0" fontId="1" fillId="7" borderId="2" xfId="0" applyFont="1" applyFill="1" applyBorder="1" applyAlignment="1">
      <alignment horizontal="center" vertical="center" wrapTex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3" fontId="1" fillId="9" borderId="2" xfId="0" applyNumberFormat="1" applyFont="1" applyFill="1" applyBorder="1" applyAlignment="1">
      <alignment horizontal="center" wrapText="1"/>
    </xf>
    <xf numFmtId="167" fontId="1" fillId="0" borderId="2" xfId="0" quotePrefix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7" fontId="1" fillId="9" borderId="2" xfId="0" quotePrefix="1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 readingOrder="1"/>
    </xf>
    <xf numFmtId="0" fontId="4" fillId="4" borderId="2" xfId="0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center" wrapText="1" readingOrder="1"/>
    </xf>
    <xf numFmtId="9" fontId="1" fillId="7" borderId="2" xfId="0" applyNumberFormat="1" applyFont="1" applyFill="1" applyBorder="1" applyAlignment="1">
      <alignment horizontal="center" vertical="center" wrapText="1" readingOrder="1"/>
    </xf>
    <xf numFmtId="3" fontId="1" fillId="7" borderId="2" xfId="0" applyNumberFormat="1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wrapText="1" readingOrder="1"/>
    </xf>
    <xf numFmtId="3" fontId="1" fillId="0" borderId="2" xfId="0" applyNumberFormat="1" applyFont="1" applyBorder="1" applyAlignment="1">
      <alignment horizontal="center" vertical="top" wrapText="1" readingOrder="1"/>
    </xf>
    <xf numFmtId="3" fontId="1" fillId="7" borderId="2" xfId="0" applyNumberFormat="1" applyFont="1" applyFill="1" applyBorder="1" applyAlignment="1">
      <alignment horizontal="center" wrapText="1" readingOrder="1"/>
    </xf>
    <xf numFmtId="165" fontId="1" fillId="0" borderId="2" xfId="0" applyNumberFormat="1" applyFont="1" applyBorder="1" applyAlignment="1">
      <alignment horizontal="center" wrapText="1" readingOrder="1"/>
    </xf>
    <xf numFmtId="165" fontId="1" fillId="7" borderId="2" xfId="0" applyNumberFormat="1" applyFont="1" applyFill="1" applyBorder="1" applyAlignment="1">
      <alignment horizontal="center" wrapText="1" readingOrder="1"/>
    </xf>
    <xf numFmtId="0" fontId="1" fillId="7" borderId="27" xfId="0" applyFont="1" applyFill="1" applyBorder="1" applyAlignment="1">
      <alignment horizontal="center" wrapText="1" readingOrder="1"/>
    </xf>
    <xf numFmtId="0" fontId="6" fillId="4" borderId="2" xfId="0" applyFont="1" applyFill="1" applyBorder="1" applyAlignment="1">
      <alignment horizontal="center" wrapText="1" readingOrder="1"/>
    </xf>
    <xf numFmtId="165" fontId="6" fillId="4" borderId="2" xfId="0" applyNumberFormat="1" applyFont="1" applyFill="1" applyBorder="1" applyAlignment="1">
      <alignment horizontal="center" wrapText="1" readingOrder="1"/>
    </xf>
    <xf numFmtId="0" fontId="4" fillId="4" borderId="2" xfId="0" applyFont="1" applyFill="1" applyBorder="1" applyAlignment="1">
      <alignment horizontal="center" wrapText="1" readingOrder="1"/>
    </xf>
    <xf numFmtId="165" fontId="4" fillId="4" borderId="2" xfId="1" applyNumberFormat="1" applyFont="1" applyFill="1" applyBorder="1" applyAlignment="1">
      <alignment horizontal="center" wrapText="1" readingOrder="1"/>
    </xf>
    <xf numFmtId="0" fontId="4" fillId="4" borderId="27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164" fontId="4" fillId="2" borderId="5" xfId="0" applyNumberFormat="1" applyFont="1" applyFill="1" applyBorder="1" applyAlignment="1">
      <alignment horizontal="center" vertical="center" wrapText="1" readingOrder="1"/>
    </xf>
    <xf numFmtId="0" fontId="1" fillId="10" borderId="2" xfId="0" applyFont="1" applyFill="1" applyBorder="1" applyAlignment="1">
      <alignment horizontal="center" wrapText="1" readingOrder="1"/>
    </xf>
    <xf numFmtId="0" fontId="4" fillId="10" borderId="2" xfId="0" applyFont="1" applyFill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center" wrapText="1" readingOrder="1"/>
    </xf>
    <xf numFmtId="0" fontId="7" fillId="10" borderId="2" xfId="0" applyFont="1" applyFill="1" applyBorder="1" applyAlignment="1">
      <alignment horizontal="center" wrapText="1" readingOrder="1"/>
    </xf>
    <xf numFmtId="0" fontId="6" fillId="10" borderId="2" xfId="0" applyFont="1" applyFill="1" applyBorder="1" applyAlignment="1">
      <alignment horizontal="center" wrapText="1" readingOrder="1"/>
    </xf>
    <xf numFmtId="0" fontId="0" fillId="10" borderId="0" xfId="0" applyFill="1">
      <alignment vertical="center"/>
    </xf>
    <xf numFmtId="167" fontId="1" fillId="10" borderId="2" xfId="0" quotePrefix="1" applyNumberFormat="1" applyFont="1" applyFill="1" applyBorder="1" applyAlignment="1">
      <alignment horizontal="center" vertical="center"/>
    </xf>
    <xf numFmtId="3" fontId="1" fillId="11" borderId="16" xfId="0" applyNumberFormat="1" applyFont="1" applyFill="1" applyBorder="1" applyAlignment="1">
      <alignment horizontal="center" wrapText="1"/>
    </xf>
    <xf numFmtId="167" fontId="1" fillId="11" borderId="2" xfId="0" quotePrefix="1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5" fontId="4" fillId="10" borderId="2" xfId="1" applyNumberFormat="1" applyFont="1" applyFill="1" applyBorder="1" applyAlignment="1">
      <alignment horizontal="center" vertical="center" wrapText="1"/>
    </xf>
    <xf numFmtId="167" fontId="1" fillId="10" borderId="16" xfId="0" applyNumberFormat="1" applyFont="1" applyFill="1" applyBorder="1" applyAlignment="1">
      <alignment horizontal="right" vertical="top" wrapText="1"/>
    </xf>
    <xf numFmtId="3" fontId="1" fillId="10" borderId="2" xfId="0" applyNumberFormat="1" applyFont="1" applyFill="1" applyBorder="1" applyAlignment="1">
      <alignment horizontal="right" vertical="center" wrapText="1" readingOrder="1"/>
    </xf>
    <xf numFmtId="165" fontId="1" fillId="10" borderId="2" xfId="1" applyNumberFormat="1" applyFont="1" applyFill="1" applyBorder="1" applyAlignment="1">
      <alignment horizontal="right" vertical="top" wrapText="1" readingOrder="1"/>
    </xf>
    <xf numFmtId="165" fontId="6" fillId="10" borderId="2" xfId="1" applyNumberFormat="1" applyFont="1" applyFill="1" applyBorder="1" applyAlignment="1">
      <alignment horizontal="right" wrapText="1" readingOrder="1"/>
    </xf>
    <xf numFmtId="0" fontId="0" fillId="10" borderId="0" xfId="0" applyFill="1" applyAlignment="1">
      <alignment horizontal="right" vertical="center"/>
    </xf>
    <xf numFmtId="165" fontId="1" fillId="10" borderId="2" xfId="0" applyNumberFormat="1" applyFont="1" applyFill="1" applyBorder="1" applyAlignment="1">
      <alignment horizontal="center" wrapText="1" readingOrder="1"/>
    </xf>
    <xf numFmtId="165" fontId="6" fillId="10" borderId="2" xfId="0" applyNumberFormat="1" applyFont="1" applyFill="1" applyBorder="1" applyAlignment="1">
      <alignment horizontal="center" wrapText="1" readingOrder="1"/>
    </xf>
    <xf numFmtId="0" fontId="14" fillId="10" borderId="2" xfId="0" applyFont="1" applyFill="1" applyBorder="1" applyAlignment="1">
      <alignment horizontal="center" vertical="center" wrapText="1" readingOrder="1"/>
    </xf>
    <xf numFmtId="0" fontId="14" fillId="10" borderId="2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</cellXfs>
  <cellStyles count="2">
    <cellStyle name="Bình thường" xfId="0" builtinId="0"/>
    <cellStyle name="Dấu phẩy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2D6B-69AB-4E47-9246-509FE9448E7E}">
  <dimension ref="A1:AO31"/>
  <sheetViews>
    <sheetView zoomScale="42" zoomScaleNormal="42" workbookViewId="0">
      <selection activeCell="AA2" sqref="AA1:AA1048576"/>
    </sheetView>
  </sheetViews>
  <sheetFormatPr defaultRowHeight="14"/>
  <cols>
    <col min="1" max="1" width="8.6640625" style="183"/>
    <col min="2" max="2" width="27" style="183" customWidth="1"/>
    <col min="3" max="3" width="28.1640625" style="183" customWidth="1"/>
    <col min="4" max="4" width="10.08203125" customWidth="1"/>
    <col min="5" max="5" width="12.58203125" customWidth="1"/>
    <col min="6" max="7" width="8.6640625" customWidth="1"/>
    <col min="8" max="8" width="8.6640625" style="20" customWidth="1"/>
    <col min="9" max="9" width="10.1640625" style="187" customWidth="1"/>
    <col min="10" max="10" width="10.25" style="187" customWidth="1"/>
    <col min="11" max="11" width="11.08203125" customWidth="1"/>
    <col min="12" max="14" width="8.6640625" customWidth="1"/>
    <col min="15" max="15" width="15.6640625" customWidth="1"/>
    <col min="16" max="17" width="8.6640625" customWidth="1"/>
    <col min="18" max="18" width="12.83203125" style="193" customWidth="1"/>
    <col min="19" max="19" width="8.6640625" customWidth="1"/>
    <col min="20" max="20" width="14" customWidth="1"/>
    <col min="21" max="22" width="8.6640625" customWidth="1"/>
    <col min="23" max="23" width="13.33203125" style="183" customWidth="1"/>
    <col min="24" max="24" width="8.6640625" customWidth="1"/>
    <col min="25" max="25" width="11.58203125" customWidth="1"/>
    <col min="26" max="26" width="11.58203125" style="183" customWidth="1"/>
    <col min="27" max="27" width="14.58203125" style="183" customWidth="1"/>
    <col min="28" max="28" width="11.58203125" customWidth="1"/>
    <col min="29" max="34" width="8.6640625" customWidth="1"/>
    <col min="35" max="35" width="19.4140625" customWidth="1"/>
    <col min="36" max="36" width="12.83203125" customWidth="1"/>
    <col min="37" max="38" width="14.08203125" customWidth="1"/>
    <col min="39" max="41" width="11.08203125" customWidth="1"/>
  </cols>
  <sheetData>
    <row r="1" spans="1:41" s="18" customFormat="1" ht="24" customHeight="1">
      <c r="A1" s="175"/>
      <c r="B1" s="175"/>
      <c r="C1" s="175"/>
      <c r="D1" s="169" t="s">
        <v>29</v>
      </c>
      <c r="E1" s="169"/>
      <c r="F1" s="169"/>
      <c r="G1" s="169"/>
      <c r="H1" s="169"/>
      <c r="I1" s="169" t="s">
        <v>42</v>
      </c>
      <c r="J1" s="169"/>
      <c r="K1" s="169"/>
      <c r="L1" s="169"/>
      <c r="M1" s="169"/>
      <c r="N1" s="169"/>
      <c r="O1" s="169" t="s">
        <v>42</v>
      </c>
      <c r="P1" s="169"/>
      <c r="Q1" s="169"/>
      <c r="R1" s="170" t="s">
        <v>43</v>
      </c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71" t="s">
        <v>44</v>
      </c>
      <c r="AG1" s="169"/>
      <c r="AH1" s="169"/>
      <c r="AI1" s="156" t="s">
        <v>45</v>
      </c>
      <c r="AJ1" s="155"/>
      <c r="AK1" s="155"/>
      <c r="AL1" s="155"/>
      <c r="AM1" s="155"/>
      <c r="AN1" s="155"/>
      <c r="AO1" s="155"/>
    </row>
    <row r="2" spans="1:41" s="137" customFormat="1" ht="24" customHeight="1">
      <c r="A2" s="176" t="s">
        <v>159</v>
      </c>
      <c r="B2" s="177" t="s">
        <v>158</v>
      </c>
      <c r="C2" s="176" t="s">
        <v>356</v>
      </c>
      <c r="D2" s="139" t="s">
        <v>46</v>
      </c>
      <c r="E2" s="139" t="s">
        <v>47</v>
      </c>
      <c r="F2" s="139" t="s">
        <v>48</v>
      </c>
      <c r="G2" s="139" t="s">
        <v>49</v>
      </c>
      <c r="H2" s="139" t="s">
        <v>50</v>
      </c>
      <c r="I2" s="177" t="s">
        <v>357</v>
      </c>
      <c r="J2" s="177" t="s">
        <v>358</v>
      </c>
      <c r="K2" s="139" t="s">
        <v>51</v>
      </c>
      <c r="L2" s="139" t="s">
        <v>52</v>
      </c>
      <c r="M2" s="139" t="s">
        <v>53</v>
      </c>
      <c r="N2" s="138" t="s">
        <v>54</v>
      </c>
      <c r="O2" s="139" t="s">
        <v>55</v>
      </c>
      <c r="P2" s="139" t="s">
        <v>56</v>
      </c>
      <c r="Q2" s="139" t="s">
        <v>57</v>
      </c>
      <c r="R2" s="188" t="s">
        <v>58</v>
      </c>
      <c r="S2" s="139" t="s">
        <v>59</v>
      </c>
      <c r="T2" s="138" t="s">
        <v>60</v>
      </c>
      <c r="U2" s="139" t="s">
        <v>61</v>
      </c>
      <c r="V2" s="138" t="s">
        <v>62</v>
      </c>
      <c r="W2" s="176" t="s">
        <v>63</v>
      </c>
      <c r="X2" s="139" t="s">
        <v>64</v>
      </c>
      <c r="Y2" s="139" t="s">
        <v>65</v>
      </c>
      <c r="Z2" s="177" t="s">
        <v>66</v>
      </c>
      <c r="AA2" s="177" t="s">
        <v>67</v>
      </c>
      <c r="AB2" s="139" t="s">
        <v>68</v>
      </c>
      <c r="AC2" s="139" t="s">
        <v>69</v>
      </c>
      <c r="AD2" s="139" t="s">
        <v>70</v>
      </c>
      <c r="AE2" s="139" t="s">
        <v>71</v>
      </c>
      <c r="AF2" s="149" t="s">
        <v>72</v>
      </c>
      <c r="AG2" s="140" t="s">
        <v>73</v>
      </c>
      <c r="AH2" s="140" t="s">
        <v>74</v>
      </c>
      <c r="AI2" s="140" t="s">
        <v>75</v>
      </c>
      <c r="AJ2" s="140" t="s">
        <v>76</v>
      </c>
      <c r="AK2" s="140" t="s">
        <v>77</v>
      </c>
      <c r="AL2" s="140" t="s">
        <v>78</v>
      </c>
      <c r="AM2" s="141" t="s">
        <v>79</v>
      </c>
      <c r="AN2" s="140" t="s">
        <v>80</v>
      </c>
      <c r="AO2" s="141" t="s">
        <v>81</v>
      </c>
    </row>
    <row r="3" spans="1:41" s="144" customFormat="1" ht="28" customHeight="1">
      <c r="A3" s="178">
        <v>7</v>
      </c>
      <c r="B3" s="175" t="s">
        <v>154</v>
      </c>
      <c r="C3" s="179" t="s">
        <v>362</v>
      </c>
      <c r="D3" s="157"/>
      <c r="E3" s="157">
        <v>2300000</v>
      </c>
      <c r="F3" s="151"/>
      <c r="G3" s="151"/>
      <c r="H3" s="152" t="s">
        <v>363</v>
      </c>
      <c r="I3" s="184" t="s">
        <v>372</v>
      </c>
      <c r="J3" s="185">
        <v>72</v>
      </c>
      <c r="K3" s="157"/>
      <c r="L3" s="153"/>
      <c r="M3" s="153" t="s">
        <v>365</v>
      </c>
      <c r="N3" s="150" t="s">
        <v>366</v>
      </c>
      <c r="O3" s="150" t="s">
        <v>367</v>
      </c>
      <c r="P3" s="153"/>
      <c r="Q3" s="153"/>
      <c r="R3" s="189">
        <v>4600000</v>
      </c>
      <c r="S3" s="153"/>
      <c r="T3" s="153"/>
      <c r="U3" s="153"/>
      <c r="V3" s="153"/>
      <c r="W3" s="179"/>
      <c r="X3" s="153"/>
      <c r="Y3" s="153"/>
      <c r="Z3" s="179"/>
      <c r="AA3" s="189">
        <v>4600000</v>
      </c>
      <c r="AB3" s="153"/>
      <c r="AC3" s="153"/>
      <c r="AD3" s="153"/>
      <c r="AE3" s="153" t="s">
        <v>364</v>
      </c>
      <c r="AF3" s="153"/>
      <c r="AG3" s="153"/>
      <c r="AH3" s="153"/>
      <c r="AI3" s="153"/>
      <c r="AJ3" s="153"/>
      <c r="AK3" s="153"/>
      <c r="AL3" s="153"/>
      <c r="AM3" s="153"/>
      <c r="AN3" s="153"/>
      <c r="AO3" s="153"/>
    </row>
    <row r="4" spans="1:41" s="144" customFormat="1" ht="28" customHeight="1">
      <c r="A4" s="178">
        <v>7</v>
      </c>
      <c r="B4" s="175" t="s">
        <v>154</v>
      </c>
      <c r="C4" s="179" t="s">
        <v>368</v>
      </c>
      <c r="D4" s="157"/>
      <c r="E4" s="157">
        <v>2000000</v>
      </c>
      <c r="F4" s="151"/>
      <c r="G4" s="151"/>
      <c r="H4" s="154" t="s">
        <v>369</v>
      </c>
      <c r="I4" s="186" t="s">
        <v>372</v>
      </c>
      <c r="J4" s="185">
        <v>61</v>
      </c>
      <c r="K4" s="157"/>
      <c r="L4" s="153"/>
      <c r="M4" s="150" t="s">
        <v>371</v>
      </c>
      <c r="N4" s="150" t="s">
        <v>366</v>
      </c>
      <c r="O4" s="150" t="s">
        <v>87</v>
      </c>
      <c r="P4" s="153"/>
      <c r="Q4" s="153"/>
      <c r="R4" s="189">
        <v>3000000</v>
      </c>
      <c r="S4" s="153"/>
      <c r="T4" s="153"/>
      <c r="U4" s="153"/>
      <c r="V4" s="153"/>
      <c r="W4" s="179"/>
      <c r="X4" s="153"/>
      <c r="Y4" s="153"/>
      <c r="Z4" s="179"/>
      <c r="AA4" s="189">
        <v>3000000</v>
      </c>
      <c r="AB4" s="153"/>
      <c r="AC4" s="153"/>
      <c r="AD4" s="153"/>
      <c r="AE4" s="153" t="s">
        <v>364</v>
      </c>
      <c r="AF4" s="153"/>
      <c r="AG4" s="153"/>
      <c r="AH4" s="153"/>
      <c r="AI4" s="153"/>
      <c r="AJ4" s="153"/>
      <c r="AK4" s="153"/>
      <c r="AL4" s="153"/>
      <c r="AM4" s="153"/>
      <c r="AN4" s="153"/>
      <c r="AO4" s="153"/>
    </row>
    <row r="5" spans="1:41" s="144" customFormat="1" ht="28" customHeight="1">
      <c r="A5" s="178">
        <v>7</v>
      </c>
      <c r="B5" s="175" t="s">
        <v>154</v>
      </c>
      <c r="C5" s="179" t="s">
        <v>88</v>
      </c>
      <c r="D5" s="157"/>
      <c r="E5" s="157">
        <v>1000000</v>
      </c>
      <c r="F5" s="151"/>
      <c r="G5" s="151"/>
      <c r="H5" s="154" t="s">
        <v>370</v>
      </c>
      <c r="I5" s="186" t="s">
        <v>372</v>
      </c>
      <c r="J5" s="185">
        <v>58</v>
      </c>
      <c r="K5" s="157"/>
      <c r="L5" s="153"/>
      <c r="M5" s="153"/>
      <c r="N5" s="150"/>
      <c r="O5" s="150" t="s">
        <v>87</v>
      </c>
      <c r="P5" s="153"/>
      <c r="Q5" s="153"/>
      <c r="R5" s="189">
        <v>2000000</v>
      </c>
      <c r="S5" s="153"/>
      <c r="T5" s="153"/>
      <c r="U5" s="153"/>
      <c r="V5" s="153"/>
      <c r="W5" s="179"/>
      <c r="X5" s="153"/>
      <c r="Y5" s="153"/>
      <c r="Z5" s="179"/>
      <c r="AA5" s="189">
        <v>2000000</v>
      </c>
      <c r="AB5" s="153"/>
      <c r="AC5" s="153"/>
      <c r="AD5" s="153"/>
      <c r="AE5" s="153" t="s">
        <v>364</v>
      </c>
      <c r="AF5" s="153"/>
      <c r="AG5" s="153"/>
      <c r="AH5" s="153"/>
      <c r="AI5" s="153"/>
      <c r="AJ5" s="153"/>
      <c r="AK5" s="153"/>
      <c r="AL5" s="153"/>
      <c r="AM5" s="153"/>
      <c r="AN5" s="153"/>
      <c r="AO5" s="153"/>
    </row>
    <row r="6" spans="1:41" s="137" customFormat="1" ht="28" customHeight="1">
      <c r="A6" s="180">
        <v>8</v>
      </c>
      <c r="B6" s="175" t="s">
        <v>154</v>
      </c>
      <c r="C6" s="180" t="s">
        <v>82</v>
      </c>
      <c r="D6" s="145"/>
      <c r="E6" s="158">
        <v>2300000</v>
      </c>
      <c r="F6" s="145"/>
      <c r="G6" s="145"/>
      <c r="H6" s="145">
        <v>8</v>
      </c>
      <c r="I6" s="180">
        <v>2</v>
      </c>
      <c r="J6" s="180"/>
      <c r="K6" s="145"/>
      <c r="L6" s="153"/>
      <c r="M6" s="145"/>
      <c r="N6" s="145"/>
      <c r="O6" s="147">
        <v>8</v>
      </c>
      <c r="P6" s="147"/>
      <c r="Q6" s="147"/>
      <c r="R6" s="190">
        <v>4600000</v>
      </c>
      <c r="S6" s="145"/>
      <c r="T6" s="147"/>
      <c r="U6" s="147"/>
      <c r="V6" s="147"/>
      <c r="W6" s="180"/>
      <c r="X6" s="147"/>
      <c r="Y6" s="145"/>
      <c r="Z6" s="180"/>
      <c r="AA6" s="190">
        <v>4600000</v>
      </c>
      <c r="AB6" s="158"/>
      <c r="AC6" s="146"/>
      <c r="AD6" s="145"/>
      <c r="AE6" s="153" t="s">
        <v>364</v>
      </c>
      <c r="AF6" s="145"/>
      <c r="AG6" s="145"/>
      <c r="AH6" s="159"/>
      <c r="AI6" s="147" t="s">
        <v>11</v>
      </c>
      <c r="AJ6" s="148" t="s">
        <v>359</v>
      </c>
      <c r="AK6" s="142" t="s">
        <v>83</v>
      </c>
      <c r="AL6" s="142" t="s">
        <v>83</v>
      </c>
      <c r="AM6" s="142" t="s">
        <v>84</v>
      </c>
      <c r="AN6" s="142"/>
      <c r="AO6" s="142" t="s">
        <v>85</v>
      </c>
    </row>
    <row r="7" spans="1:41" s="137" customFormat="1" ht="28" customHeight="1">
      <c r="A7" s="180">
        <v>8</v>
      </c>
      <c r="B7" s="175" t="s">
        <v>154</v>
      </c>
      <c r="C7" s="180" t="s">
        <v>86</v>
      </c>
      <c r="D7" s="145"/>
      <c r="E7" s="158">
        <v>1700000</v>
      </c>
      <c r="F7" s="145"/>
      <c r="G7" s="145"/>
      <c r="H7" s="145">
        <v>8</v>
      </c>
      <c r="I7" s="180">
        <v>3</v>
      </c>
      <c r="J7" s="180"/>
      <c r="K7" s="145"/>
      <c r="L7" s="153"/>
      <c r="M7" s="145"/>
      <c r="N7" s="145"/>
      <c r="O7" s="145">
        <v>8</v>
      </c>
      <c r="P7" s="145"/>
      <c r="Q7" s="145"/>
      <c r="R7" s="190">
        <v>5100000</v>
      </c>
      <c r="S7" s="145"/>
      <c r="T7" s="145"/>
      <c r="U7" s="147"/>
      <c r="V7" s="145"/>
      <c r="W7" s="180"/>
      <c r="X7" s="147"/>
      <c r="Y7" s="145"/>
      <c r="Z7" s="180"/>
      <c r="AA7" s="190">
        <v>5100000</v>
      </c>
      <c r="AB7" s="145"/>
      <c r="AC7" s="147"/>
      <c r="AD7" s="145"/>
      <c r="AE7" s="153" t="s">
        <v>364</v>
      </c>
      <c r="AF7" s="145"/>
      <c r="AG7" s="145"/>
      <c r="AH7" s="145"/>
      <c r="AI7" s="147" t="s">
        <v>11</v>
      </c>
      <c r="AJ7" s="147" t="s">
        <v>360</v>
      </c>
      <c r="AK7" s="142" t="s">
        <v>83</v>
      </c>
      <c r="AL7" s="142" t="s">
        <v>83</v>
      </c>
      <c r="AM7" s="142" t="s">
        <v>84</v>
      </c>
      <c r="AN7" s="142"/>
      <c r="AO7" s="142" t="s">
        <v>87</v>
      </c>
    </row>
    <row r="8" spans="1:41" s="137" customFormat="1" ht="28" customHeight="1">
      <c r="A8" s="180">
        <v>8</v>
      </c>
      <c r="B8" s="175" t="s">
        <v>154</v>
      </c>
      <c r="C8" s="180" t="s">
        <v>88</v>
      </c>
      <c r="D8" s="145"/>
      <c r="E8" s="158">
        <v>2000000</v>
      </c>
      <c r="F8" s="145"/>
      <c r="G8" s="145"/>
      <c r="H8" s="145">
        <v>8</v>
      </c>
      <c r="I8" s="180">
        <v>2</v>
      </c>
      <c r="J8" s="180"/>
      <c r="K8" s="145"/>
      <c r="L8" s="153"/>
      <c r="M8" s="145"/>
      <c r="N8" s="145"/>
      <c r="O8" s="145">
        <v>8</v>
      </c>
      <c r="P8" s="145"/>
      <c r="Q8" s="145"/>
      <c r="R8" s="190">
        <v>4000000</v>
      </c>
      <c r="S8" s="145"/>
      <c r="T8" s="145"/>
      <c r="U8" s="147"/>
      <c r="V8" s="145"/>
      <c r="W8" s="180"/>
      <c r="X8" s="147"/>
      <c r="Y8" s="145"/>
      <c r="Z8" s="196"/>
      <c r="AA8" s="190">
        <v>4000000</v>
      </c>
      <c r="AB8" s="160"/>
      <c r="AC8" s="147"/>
      <c r="AD8" s="160"/>
      <c r="AE8" s="153" t="s">
        <v>364</v>
      </c>
      <c r="AF8" s="145"/>
      <c r="AG8" s="145"/>
      <c r="AH8" s="159"/>
      <c r="AI8" s="147" t="s">
        <v>11</v>
      </c>
      <c r="AJ8" s="148" t="s">
        <v>361</v>
      </c>
      <c r="AK8" s="142" t="s">
        <v>83</v>
      </c>
      <c r="AL8" s="142" t="s">
        <v>83</v>
      </c>
      <c r="AM8" s="142" t="s">
        <v>84</v>
      </c>
      <c r="AN8" s="142"/>
      <c r="AO8" s="142" t="s">
        <v>87</v>
      </c>
    </row>
    <row r="9" spans="1:41" s="137" customFormat="1" ht="28" customHeight="1">
      <c r="A9" s="180">
        <v>8</v>
      </c>
      <c r="B9" s="175" t="s">
        <v>154</v>
      </c>
      <c r="C9" s="180" t="s">
        <v>89</v>
      </c>
      <c r="D9" s="145"/>
      <c r="E9" s="158">
        <v>1900000</v>
      </c>
      <c r="F9" s="145"/>
      <c r="G9" s="145"/>
      <c r="H9" s="145">
        <v>8</v>
      </c>
      <c r="I9" s="180">
        <v>2</v>
      </c>
      <c r="J9" s="180"/>
      <c r="K9" s="145"/>
      <c r="L9" s="153"/>
      <c r="M9" s="145"/>
      <c r="N9" s="145"/>
      <c r="O9" s="145">
        <v>8</v>
      </c>
      <c r="P9" s="145"/>
      <c r="Q9" s="145"/>
      <c r="R9" s="190">
        <v>3800000</v>
      </c>
      <c r="S9" s="145"/>
      <c r="T9" s="145"/>
      <c r="U9" s="147"/>
      <c r="V9" s="145"/>
      <c r="W9" s="180"/>
      <c r="X9" s="147"/>
      <c r="Y9" s="145"/>
      <c r="Z9" s="180"/>
      <c r="AA9" s="190">
        <v>3800000</v>
      </c>
      <c r="AB9" s="145"/>
      <c r="AC9" s="147"/>
      <c r="AD9" s="145"/>
      <c r="AE9" s="153" t="s">
        <v>364</v>
      </c>
      <c r="AF9" s="145"/>
      <c r="AG9" s="145"/>
      <c r="AH9" s="145"/>
      <c r="AI9" s="147" t="s">
        <v>11</v>
      </c>
      <c r="AJ9" s="147" t="s">
        <v>360</v>
      </c>
      <c r="AK9" s="142" t="s">
        <v>83</v>
      </c>
      <c r="AL9" s="142" t="s">
        <v>83</v>
      </c>
      <c r="AM9" s="142" t="s">
        <v>84</v>
      </c>
      <c r="AN9" s="142"/>
      <c r="AO9" s="142" t="s">
        <v>87</v>
      </c>
    </row>
    <row r="10" spans="1:41" s="18" customFormat="1" ht="28" customHeight="1">
      <c r="A10" s="175">
        <v>9</v>
      </c>
      <c r="B10" s="175" t="s">
        <v>154</v>
      </c>
      <c r="C10" s="175" t="s">
        <v>82</v>
      </c>
      <c r="D10" s="142"/>
      <c r="E10" s="162">
        <v>2300000</v>
      </c>
      <c r="F10" s="142"/>
      <c r="G10" s="163">
        <f t="shared" ref="G10:G17" si="0">E10/8</f>
        <v>287500</v>
      </c>
      <c r="H10" s="142">
        <v>8</v>
      </c>
      <c r="I10" s="175">
        <v>2</v>
      </c>
      <c r="J10" s="175"/>
      <c r="K10" s="142"/>
      <c r="L10" s="153"/>
      <c r="M10" s="142"/>
      <c r="N10" s="142"/>
      <c r="O10" s="161">
        <v>8</v>
      </c>
      <c r="P10" s="161"/>
      <c r="Q10" s="161"/>
      <c r="R10" s="191">
        <f>O10*G10*I10</f>
        <v>4600000</v>
      </c>
      <c r="S10" s="142"/>
      <c r="T10" s="161"/>
      <c r="U10" s="161"/>
      <c r="V10" s="161"/>
      <c r="W10" s="175"/>
      <c r="X10" s="161"/>
      <c r="Y10" s="142"/>
      <c r="Z10" s="175"/>
      <c r="AA10" s="194">
        <v>4600000</v>
      </c>
      <c r="AB10" s="161"/>
      <c r="AC10" s="161"/>
      <c r="AD10" s="142"/>
      <c r="AE10" s="153" t="s">
        <v>364</v>
      </c>
      <c r="AF10" s="142"/>
      <c r="AG10" s="142"/>
      <c r="AH10" s="142"/>
      <c r="AI10" s="161"/>
      <c r="AJ10" s="161"/>
      <c r="AK10" s="142" t="s">
        <v>83</v>
      </c>
      <c r="AL10" s="142" t="s">
        <v>83</v>
      </c>
      <c r="AM10" s="142" t="s">
        <v>84</v>
      </c>
      <c r="AN10" s="142"/>
      <c r="AO10" s="142" t="s">
        <v>85</v>
      </c>
    </row>
    <row r="11" spans="1:41" s="18" customFormat="1" ht="28" customHeight="1">
      <c r="A11" s="175">
        <v>9</v>
      </c>
      <c r="B11" s="175" t="s">
        <v>154</v>
      </c>
      <c r="C11" s="175" t="s">
        <v>86</v>
      </c>
      <c r="D11" s="142"/>
      <c r="E11" s="162">
        <v>1700000</v>
      </c>
      <c r="F11" s="142"/>
      <c r="G11" s="163">
        <f t="shared" si="0"/>
        <v>212500</v>
      </c>
      <c r="H11" s="142">
        <v>8</v>
      </c>
      <c r="I11" s="175">
        <v>3</v>
      </c>
      <c r="J11" s="175"/>
      <c r="K11" s="142"/>
      <c r="L11" s="153"/>
      <c r="M11" s="142"/>
      <c r="N11" s="142"/>
      <c r="O11" s="142">
        <v>3</v>
      </c>
      <c r="P11" s="142"/>
      <c r="Q11" s="142"/>
      <c r="R11" s="191">
        <f>O11*G11*I11</f>
        <v>1912500</v>
      </c>
      <c r="S11" s="142"/>
      <c r="T11" s="142"/>
      <c r="U11" s="161"/>
      <c r="V11" s="142"/>
      <c r="W11" s="175"/>
      <c r="X11" s="161"/>
      <c r="Y11" s="142"/>
      <c r="Z11" s="175"/>
      <c r="AA11" s="194">
        <v>1912500</v>
      </c>
      <c r="AB11" s="142"/>
      <c r="AC11" s="161"/>
      <c r="AD11" s="142"/>
      <c r="AE11" s="153" t="s">
        <v>364</v>
      </c>
      <c r="AF11" s="142"/>
      <c r="AG11" s="142"/>
      <c r="AH11" s="142"/>
      <c r="AI11" s="142"/>
      <c r="AJ11" s="161"/>
      <c r="AK11" s="142" t="s">
        <v>83</v>
      </c>
      <c r="AL11" s="142" t="s">
        <v>83</v>
      </c>
      <c r="AM11" s="142" t="s">
        <v>84</v>
      </c>
      <c r="AN11" s="142"/>
      <c r="AO11" s="142" t="s">
        <v>87</v>
      </c>
    </row>
    <row r="12" spans="1:41" s="18" customFormat="1" ht="28" customHeight="1">
      <c r="A12" s="175">
        <v>9</v>
      </c>
      <c r="B12" s="175" t="s">
        <v>154</v>
      </c>
      <c r="C12" s="175" t="s">
        <v>86</v>
      </c>
      <c r="D12" s="142"/>
      <c r="E12" s="162">
        <v>1700000</v>
      </c>
      <c r="F12" s="142"/>
      <c r="G12" s="163">
        <f t="shared" si="0"/>
        <v>212500</v>
      </c>
      <c r="H12" s="142">
        <v>8</v>
      </c>
      <c r="I12" s="175">
        <v>4</v>
      </c>
      <c r="J12" s="175"/>
      <c r="K12" s="142"/>
      <c r="L12" s="153"/>
      <c r="M12" s="142"/>
      <c r="N12" s="142"/>
      <c r="O12" s="142">
        <v>5</v>
      </c>
      <c r="P12" s="142"/>
      <c r="Q12" s="142"/>
      <c r="R12" s="191">
        <f>O12*G12*I12</f>
        <v>4250000</v>
      </c>
      <c r="S12" s="142"/>
      <c r="T12" s="142"/>
      <c r="U12" s="161"/>
      <c r="V12" s="142"/>
      <c r="W12" s="175"/>
      <c r="X12" s="161"/>
      <c r="Y12" s="142"/>
      <c r="Z12" s="175"/>
      <c r="AA12" s="194">
        <v>4250000</v>
      </c>
      <c r="AB12" s="142"/>
      <c r="AC12" s="161"/>
      <c r="AD12" s="142"/>
      <c r="AE12" s="153" t="s">
        <v>364</v>
      </c>
      <c r="AF12" s="142"/>
      <c r="AG12" s="142"/>
      <c r="AH12" s="142"/>
      <c r="AI12" s="142"/>
      <c r="AJ12" s="161"/>
      <c r="AK12" s="142" t="s">
        <v>83</v>
      </c>
      <c r="AL12" s="142" t="s">
        <v>83</v>
      </c>
      <c r="AM12" s="142" t="s">
        <v>84</v>
      </c>
      <c r="AN12" s="142"/>
      <c r="AO12" s="142" t="s">
        <v>87</v>
      </c>
    </row>
    <row r="13" spans="1:41" s="18" customFormat="1" ht="28" customHeight="1">
      <c r="A13" s="175">
        <v>9</v>
      </c>
      <c r="B13" s="175" t="s">
        <v>154</v>
      </c>
      <c r="C13" s="175" t="s">
        <v>88</v>
      </c>
      <c r="D13" s="142"/>
      <c r="E13" s="162">
        <v>2000000</v>
      </c>
      <c r="F13" s="142"/>
      <c r="G13" s="163">
        <f t="shared" si="0"/>
        <v>250000</v>
      </c>
      <c r="H13" s="142">
        <v>8</v>
      </c>
      <c r="I13" s="175">
        <v>2</v>
      </c>
      <c r="J13" s="175"/>
      <c r="K13" s="142"/>
      <c r="L13" s="153"/>
      <c r="M13" s="142"/>
      <c r="N13" s="142"/>
      <c r="O13" s="142">
        <v>2</v>
      </c>
      <c r="P13" s="142"/>
      <c r="Q13" s="142"/>
      <c r="R13" s="191">
        <v>1000000</v>
      </c>
      <c r="S13" s="142"/>
      <c r="T13" s="142"/>
      <c r="U13" s="161"/>
      <c r="V13" s="142"/>
      <c r="W13" s="175"/>
      <c r="X13" s="161"/>
      <c r="Y13" s="142"/>
      <c r="Z13" s="175"/>
      <c r="AA13" s="194">
        <v>1000000</v>
      </c>
      <c r="AB13" s="142"/>
      <c r="AC13" s="161"/>
      <c r="AD13" s="142"/>
      <c r="AE13" s="153" t="s">
        <v>364</v>
      </c>
      <c r="AF13" s="142"/>
      <c r="AG13" s="142"/>
      <c r="AH13" s="142"/>
      <c r="AI13" s="142"/>
      <c r="AJ13" s="161"/>
      <c r="AK13" s="142" t="s">
        <v>83</v>
      </c>
      <c r="AL13" s="142" t="s">
        <v>83</v>
      </c>
      <c r="AM13" s="142" t="s">
        <v>84</v>
      </c>
      <c r="AN13" s="142"/>
      <c r="AO13" s="142" t="s">
        <v>87</v>
      </c>
    </row>
    <row r="14" spans="1:41" s="18" customFormat="1" ht="28" customHeight="1">
      <c r="A14" s="175">
        <v>9</v>
      </c>
      <c r="B14" s="175" t="s">
        <v>154</v>
      </c>
      <c r="C14" s="175" t="s">
        <v>88</v>
      </c>
      <c r="D14" s="142"/>
      <c r="E14" s="162">
        <v>2000000</v>
      </c>
      <c r="F14" s="142"/>
      <c r="G14" s="163">
        <f t="shared" si="0"/>
        <v>250000</v>
      </c>
      <c r="H14" s="142">
        <v>8</v>
      </c>
      <c r="I14" s="175">
        <v>5</v>
      </c>
      <c r="J14" s="175"/>
      <c r="K14" s="142"/>
      <c r="L14" s="153"/>
      <c r="M14" s="142"/>
      <c r="N14" s="142"/>
      <c r="O14" s="142">
        <v>5</v>
      </c>
      <c r="P14" s="142"/>
      <c r="Q14" s="142"/>
      <c r="R14" s="191">
        <f t="shared" ref="R14:R16" si="1">O14*G14*I14</f>
        <v>6250000</v>
      </c>
      <c r="S14" s="142"/>
      <c r="T14" s="142"/>
      <c r="U14" s="161"/>
      <c r="V14" s="142"/>
      <c r="W14" s="175"/>
      <c r="X14" s="161"/>
      <c r="Y14" s="142"/>
      <c r="Z14" s="175" t="s">
        <v>92</v>
      </c>
      <c r="AA14" s="194">
        <v>6250000</v>
      </c>
      <c r="AB14" s="142"/>
      <c r="AC14" s="161"/>
      <c r="AD14" s="142"/>
      <c r="AE14" s="153" t="s">
        <v>364</v>
      </c>
      <c r="AF14" s="142"/>
      <c r="AG14" s="142"/>
      <c r="AH14" s="142"/>
      <c r="AI14" s="142"/>
      <c r="AJ14" s="161"/>
      <c r="AK14" s="142" t="s">
        <v>83</v>
      </c>
      <c r="AL14" s="142" t="s">
        <v>83</v>
      </c>
      <c r="AM14" s="142" t="s">
        <v>84</v>
      </c>
      <c r="AN14" s="142"/>
      <c r="AO14" s="142" t="s">
        <v>87</v>
      </c>
    </row>
    <row r="15" spans="1:41" s="18" customFormat="1" ht="28" customHeight="1">
      <c r="A15" s="175">
        <v>9</v>
      </c>
      <c r="B15" s="175" t="s">
        <v>154</v>
      </c>
      <c r="C15" s="175" t="s">
        <v>89</v>
      </c>
      <c r="D15" s="142"/>
      <c r="E15" s="162">
        <v>1900000</v>
      </c>
      <c r="F15" s="142"/>
      <c r="G15" s="163">
        <f t="shared" si="0"/>
        <v>237500</v>
      </c>
      <c r="H15" s="142">
        <v>8</v>
      </c>
      <c r="I15" s="175">
        <v>2</v>
      </c>
      <c r="J15" s="175"/>
      <c r="K15" s="142"/>
      <c r="L15" s="153"/>
      <c r="M15" s="142"/>
      <c r="N15" s="142"/>
      <c r="O15" s="142">
        <v>8</v>
      </c>
      <c r="P15" s="142"/>
      <c r="Q15" s="142"/>
      <c r="R15" s="191">
        <f t="shared" si="1"/>
        <v>3800000</v>
      </c>
      <c r="S15" s="142"/>
      <c r="T15" s="142"/>
      <c r="U15" s="161"/>
      <c r="V15" s="142"/>
      <c r="W15" s="175"/>
      <c r="X15" s="161"/>
      <c r="Y15" s="142"/>
      <c r="Z15" s="175"/>
      <c r="AA15" s="194">
        <v>3800000</v>
      </c>
      <c r="AB15" s="142"/>
      <c r="AC15" s="161"/>
      <c r="AD15" s="142"/>
      <c r="AE15" s="153" t="s">
        <v>364</v>
      </c>
      <c r="AF15" s="142"/>
      <c r="AG15" s="142"/>
      <c r="AH15" s="142"/>
      <c r="AI15" s="142"/>
      <c r="AJ15" s="161"/>
      <c r="AK15" s="142" t="s">
        <v>83</v>
      </c>
      <c r="AL15" s="142" t="s">
        <v>83</v>
      </c>
      <c r="AM15" s="142" t="s">
        <v>84</v>
      </c>
      <c r="AN15" s="142"/>
      <c r="AO15" s="142" t="s">
        <v>87</v>
      </c>
    </row>
    <row r="16" spans="1:41" s="18" customFormat="1" ht="28" customHeight="1">
      <c r="A16" s="175">
        <v>9</v>
      </c>
      <c r="B16" s="175" t="s">
        <v>154</v>
      </c>
      <c r="C16" s="175" t="s">
        <v>91</v>
      </c>
      <c r="D16" s="142"/>
      <c r="E16" s="162">
        <v>1500000</v>
      </c>
      <c r="F16" s="142"/>
      <c r="G16" s="163">
        <f t="shared" si="0"/>
        <v>187500</v>
      </c>
      <c r="H16" s="142">
        <v>8</v>
      </c>
      <c r="I16" s="175">
        <v>2</v>
      </c>
      <c r="J16" s="175"/>
      <c r="K16" s="142"/>
      <c r="L16" s="153"/>
      <c r="M16" s="142"/>
      <c r="N16" s="142"/>
      <c r="O16" s="142">
        <v>8</v>
      </c>
      <c r="P16" s="142"/>
      <c r="Q16" s="142"/>
      <c r="R16" s="191">
        <f t="shared" si="1"/>
        <v>3000000</v>
      </c>
      <c r="S16" s="142"/>
      <c r="T16" s="142"/>
      <c r="U16" s="161"/>
      <c r="V16" s="142"/>
      <c r="W16" s="175"/>
      <c r="X16" s="161"/>
      <c r="Y16" s="142"/>
      <c r="Z16" s="197" t="s">
        <v>92</v>
      </c>
      <c r="AA16" s="194">
        <v>3000000</v>
      </c>
      <c r="AB16" s="142"/>
      <c r="AC16" s="142"/>
      <c r="AD16" s="142"/>
      <c r="AE16" s="153" t="s">
        <v>364</v>
      </c>
      <c r="AF16" s="142"/>
      <c r="AG16" s="142"/>
      <c r="AH16" s="142"/>
      <c r="AI16" s="142"/>
      <c r="AJ16" s="142"/>
      <c r="AK16" s="142" t="s">
        <v>83</v>
      </c>
      <c r="AL16" s="142" t="s">
        <v>83</v>
      </c>
      <c r="AM16" s="142" t="s">
        <v>84</v>
      </c>
      <c r="AN16" s="142"/>
      <c r="AO16" s="142" t="s">
        <v>87</v>
      </c>
    </row>
    <row r="17" spans="1:41" s="18" customFormat="1" ht="28" customHeight="1">
      <c r="A17" s="175">
        <v>9</v>
      </c>
      <c r="B17" s="175" t="s">
        <v>154</v>
      </c>
      <c r="C17" s="175" t="s">
        <v>93</v>
      </c>
      <c r="D17" s="162">
        <v>120000</v>
      </c>
      <c r="E17" s="162"/>
      <c r="F17" s="142"/>
      <c r="G17" s="163">
        <f t="shared" si="0"/>
        <v>0</v>
      </c>
      <c r="H17" s="142">
        <v>8</v>
      </c>
      <c r="I17" s="175">
        <v>4</v>
      </c>
      <c r="J17" s="175">
        <v>104</v>
      </c>
      <c r="K17" s="142">
        <v>7</v>
      </c>
      <c r="L17" s="153"/>
      <c r="M17" s="142"/>
      <c r="N17" s="142"/>
      <c r="O17" s="142">
        <v>8</v>
      </c>
      <c r="P17" s="142"/>
      <c r="Q17" s="142"/>
      <c r="R17" s="191">
        <f>(J17*120000)+(K17*60000)</f>
        <v>12900000</v>
      </c>
      <c r="S17" s="142"/>
      <c r="T17" s="165">
        <f>R17*8%</f>
        <v>1032000</v>
      </c>
      <c r="U17" s="164"/>
      <c r="V17" s="142"/>
      <c r="W17" s="194">
        <f>R17*20%</f>
        <v>2580000</v>
      </c>
      <c r="X17" s="161"/>
      <c r="Y17" s="165">
        <f>R17*12%</f>
        <v>1548000</v>
      </c>
      <c r="Z17" s="194">
        <f>Y17+T17</f>
        <v>2580000</v>
      </c>
      <c r="AA17" s="194">
        <v>7740000</v>
      </c>
      <c r="AB17" s="142"/>
      <c r="AC17" s="142"/>
      <c r="AD17" s="142"/>
      <c r="AE17" s="153" t="s">
        <v>364</v>
      </c>
      <c r="AF17" s="142"/>
      <c r="AG17" s="142"/>
      <c r="AH17" s="142"/>
      <c r="AI17" s="142"/>
      <c r="AJ17" s="142"/>
      <c r="AK17" s="142"/>
      <c r="AL17" s="142"/>
      <c r="AM17" s="142" t="s">
        <v>84</v>
      </c>
      <c r="AN17" s="142"/>
      <c r="AO17" s="142" t="s">
        <v>87</v>
      </c>
    </row>
    <row r="18" spans="1:41" s="19" customFormat="1" ht="28" customHeight="1">
      <c r="A18" s="175">
        <v>10</v>
      </c>
      <c r="B18" s="175" t="s">
        <v>155</v>
      </c>
      <c r="C18" s="175" t="s">
        <v>99</v>
      </c>
      <c r="D18" s="162">
        <v>300000</v>
      </c>
      <c r="E18" s="162"/>
      <c r="F18" s="142"/>
      <c r="G18" s="163"/>
      <c r="H18" s="142">
        <v>4</v>
      </c>
      <c r="I18" s="175">
        <v>9</v>
      </c>
      <c r="J18" s="175">
        <v>254</v>
      </c>
      <c r="K18" s="142"/>
      <c r="L18" s="153"/>
      <c r="M18" s="142"/>
      <c r="N18" s="142"/>
      <c r="O18" s="142">
        <v>4</v>
      </c>
      <c r="P18" s="142"/>
      <c r="Q18" s="142"/>
      <c r="R18" s="191">
        <v>38100000</v>
      </c>
      <c r="S18" s="142"/>
      <c r="T18" s="165"/>
      <c r="U18" s="164"/>
      <c r="V18" s="142"/>
      <c r="W18" s="194">
        <v>9779000</v>
      </c>
      <c r="X18" s="161"/>
      <c r="Y18" s="165"/>
      <c r="Z18" s="194">
        <v>9525000</v>
      </c>
      <c r="AA18" s="194">
        <v>18796000</v>
      </c>
      <c r="AB18" s="142"/>
      <c r="AC18" s="142"/>
      <c r="AD18" s="142"/>
      <c r="AE18" s="153" t="s">
        <v>364</v>
      </c>
      <c r="AF18" s="142"/>
      <c r="AG18" s="142"/>
      <c r="AH18" s="142"/>
      <c r="AI18" s="142"/>
      <c r="AJ18" s="142"/>
      <c r="AK18" s="142"/>
      <c r="AL18" s="142"/>
      <c r="AM18" s="142" t="s">
        <v>94</v>
      </c>
      <c r="AN18" s="142"/>
      <c r="AO18" s="142" t="s">
        <v>95</v>
      </c>
    </row>
    <row r="19" spans="1:41" s="18" customFormat="1" ht="28" customHeight="1">
      <c r="A19" s="175">
        <v>10</v>
      </c>
      <c r="B19" s="175" t="s">
        <v>154</v>
      </c>
      <c r="C19" s="175" t="s">
        <v>82</v>
      </c>
      <c r="D19" s="142"/>
      <c r="E19" s="162">
        <v>2300000</v>
      </c>
      <c r="F19" s="142"/>
      <c r="G19" s="163">
        <f t="shared" ref="G19:G26" si="2">E19/8</f>
        <v>287500</v>
      </c>
      <c r="H19" s="142">
        <v>8</v>
      </c>
      <c r="I19" s="175">
        <v>2</v>
      </c>
      <c r="J19" s="175"/>
      <c r="K19" s="142"/>
      <c r="L19" s="153"/>
      <c r="M19" s="142"/>
      <c r="N19" s="142"/>
      <c r="O19" s="161">
        <v>8</v>
      </c>
      <c r="P19" s="161"/>
      <c r="Q19" s="161"/>
      <c r="R19" s="191">
        <f t="shared" ref="R19:R24" si="3">O19*G19*I19</f>
        <v>4600000</v>
      </c>
      <c r="S19" s="142"/>
      <c r="T19" s="161"/>
      <c r="U19" s="161"/>
      <c r="V19" s="161"/>
      <c r="W19" s="175"/>
      <c r="X19" s="161"/>
      <c r="Y19" s="142"/>
      <c r="Z19" s="175"/>
      <c r="AA19" s="194">
        <v>4600000</v>
      </c>
      <c r="AB19" s="161"/>
      <c r="AC19" s="161"/>
      <c r="AD19" s="142"/>
      <c r="AE19" s="153" t="s">
        <v>364</v>
      </c>
      <c r="AF19" s="142"/>
      <c r="AG19" s="142"/>
      <c r="AH19" s="142"/>
      <c r="AI19" s="161"/>
      <c r="AJ19" s="161"/>
      <c r="AK19" s="142" t="s">
        <v>83</v>
      </c>
      <c r="AL19" s="142" t="s">
        <v>83</v>
      </c>
      <c r="AM19" s="142" t="s">
        <v>84</v>
      </c>
      <c r="AN19" s="142"/>
      <c r="AO19" s="142" t="s">
        <v>85</v>
      </c>
    </row>
    <row r="20" spans="1:41" s="18" customFormat="1" ht="28" customHeight="1">
      <c r="A20" s="175">
        <v>10</v>
      </c>
      <c r="B20" s="175" t="s">
        <v>154</v>
      </c>
      <c r="C20" s="175" t="s">
        <v>86</v>
      </c>
      <c r="D20" s="142"/>
      <c r="E20" s="162">
        <v>1700000</v>
      </c>
      <c r="F20" s="142"/>
      <c r="G20" s="163">
        <f t="shared" si="2"/>
        <v>212500</v>
      </c>
      <c r="H20" s="142">
        <v>8</v>
      </c>
      <c r="I20" s="175">
        <v>4</v>
      </c>
      <c r="J20" s="175"/>
      <c r="K20" s="142"/>
      <c r="L20" s="153"/>
      <c r="M20" s="142"/>
      <c r="N20" s="142"/>
      <c r="O20" s="161">
        <v>8</v>
      </c>
      <c r="P20" s="142"/>
      <c r="Q20" s="142"/>
      <c r="R20" s="191">
        <f t="shared" si="3"/>
        <v>6800000</v>
      </c>
      <c r="S20" s="142"/>
      <c r="T20" s="142"/>
      <c r="U20" s="161"/>
      <c r="V20" s="142"/>
      <c r="W20" s="175"/>
      <c r="X20" s="161"/>
      <c r="Y20" s="142"/>
      <c r="Z20" s="175"/>
      <c r="AA20" s="194">
        <v>6800000</v>
      </c>
      <c r="AB20" s="142"/>
      <c r="AC20" s="161"/>
      <c r="AD20" s="142"/>
      <c r="AE20" s="153" t="s">
        <v>364</v>
      </c>
      <c r="AF20" s="142"/>
      <c r="AG20" s="142"/>
      <c r="AH20" s="142"/>
      <c r="AI20" s="142"/>
      <c r="AJ20" s="161"/>
      <c r="AK20" s="142" t="s">
        <v>83</v>
      </c>
      <c r="AL20" s="142" t="s">
        <v>83</v>
      </c>
      <c r="AM20" s="142" t="s">
        <v>84</v>
      </c>
      <c r="AN20" s="142"/>
      <c r="AO20" s="142" t="s">
        <v>87</v>
      </c>
    </row>
    <row r="21" spans="1:41" s="18" customFormat="1" ht="28" customHeight="1">
      <c r="A21" s="175">
        <v>10</v>
      </c>
      <c r="B21" s="175" t="s">
        <v>154</v>
      </c>
      <c r="C21" s="175" t="s">
        <v>88</v>
      </c>
      <c r="D21" s="142"/>
      <c r="E21" s="162">
        <v>2000000</v>
      </c>
      <c r="F21" s="142"/>
      <c r="G21" s="163">
        <f t="shared" si="2"/>
        <v>250000</v>
      </c>
      <c r="H21" s="142">
        <v>8</v>
      </c>
      <c r="I21" s="175">
        <v>5</v>
      </c>
      <c r="J21" s="175"/>
      <c r="K21" s="142"/>
      <c r="L21" s="153"/>
      <c r="M21" s="142"/>
      <c r="N21" s="142"/>
      <c r="O21" s="161">
        <v>8</v>
      </c>
      <c r="P21" s="142"/>
      <c r="Q21" s="142"/>
      <c r="R21" s="191">
        <v>10000000</v>
      </c>
      <c r="S21" s="142"/>
      <c r="T21" s="142"/>
      <c r="U21" s="161"/>
      <c r="V21" s="142"/>
      <c r="W21" s="175"/>
      <c r="X21" s="161"/>
      <c r="Y21" s="142"/>
      <c r="Z21" s="175"/>
      <c r="AA21" s="194">
        <v>10000000</v>
      </c>
      <c r="AB21" s="142"/>
      <c r="AC21" s="161"/>
      <c r="AD21" s="142"/>
      <c r="AE21" s="153" t="s">
        <v>364</v>
      </c>
      <c r="AF21" s="142"/>
      <c r="AG21" s="142"/>
      <c r="AH21" s="142"/>
      <c r="AI21" s="142"/>
      <c r="AJ21" s="161"/>
      <c r="AK21" s="142" t="s">
        <v>83</v>
      </c>
      <c r="AL21" s="142" t="s">
        <v>83</v>
      </c>
      <c r="AM21" s="142" t="s">
        <v>84</v>
      </c>
      <c r="AN21" s="142"/>
      <c r="AO21" s="142" t="s">
        <v>87</v>
      </c>
    </row>
    <row r="22" spans="1:41" s="18" customFormat="1" ht="28" customHeight="1">
      <c r="A22" s="175">
        <v>10</v>
      </c>
      <c r="B22" s="175" t="s">
        <v>154</v>
      </c>
      <c r="C22" s="175" t="s">
        <v>89</v>
      </c>
      <c r="D22" s="142"/>
      <c r="E22" s="162">
        <v>1900000</v>
      </c>
      <c r="F22" s="142"/>
      <c r="G22" s="163">
        <f t="shared" si="2"/>
        <v>237500</v>
      </c>
      <c r="H22" s="142">
        <v>8</v>
      </c>
      <c r="I22" s="175">
        <v>2</v>
      </c>
      <c r="J22" s="175"/>
      <c r="K22" s="142"/>
      <c r="L22" s="153"/>
      <c r="M22" s="142"/>
      <c r="N22" s="142"/>
      <c r="O22" s="161">
        <v>8</v>
      </c>
      <c r="P22" s="142"/>
      <c r="Q22" s="142"/>
      <c r="R22" s="191">
        <f t="shared" si="3"/>
        <v>3800000</v>
      </c>
      <c r="S22" s="142"/>
      <c r="T22" s="142"/>
      <c r="U22" s="161"/>
      <c r="V22" s="142"/>
      <c r="W22" s="175"/>
      <c r="X22" s="161"/>
      <c r="Y22" s="142"/>
      <c r="Z22" s="175"/>
      <c r="AA22" s="194">
        <v>3800000</v>
      </c>
      <c r="AB22" s="142"/>
      <c r="AC22" s="161"/>
      <c r="AD22" s="142"/>
      <c r="AE22" s="153" t="s">
        <v>364</v>
      </c>
      <c r="AF22" s="142"/>
      <c r="AG22" s="142"/>
      <c r="AH22" s="142"/>
      <c r="AI22" s="142"/>
      <c r="AJ22" s="161"/>
      <c r="AK22" s="142" t="s">
        <v>83</v>
      </c>
      <c r="AL22" s="142" t="s">
        <v>83</v>
      </c>
      <c r="AM22" s="142" t="s">
        <v>84</v>
      </c>
      <c r="AN22" s="142"/>
      <c r="AO22" s="142" t="s">
        <v>87</v>
      </c>
    </row>
    <row r="23" spans="1:41" s="18" customFormat="1" ht="28" customHeight="1">
      <c r="A23" s="175">
        <v>10</v>
      </c>
      <c r="B23" s="175" t="s">
        <v>154</v>
      </c>
      <c r="C23" s="175" t="s">
        <v>90</v>
      </c>
      <c r="D23" s="142"/>
      <c r="E23" s="162">
        <v>1900000</v>
      </c>
      <c r="F23" s="142"/>
      <c r="G23" s="163">
        <f t="shared" si="2"/>
        <v>237500</v>
      </c>
      <c r="H23" s="142">
        <v>8</v>
      </c>
      <c r="I23" s="175">
        <v>2</v>
      </c>
      <c r="J23" s="175"/>
      <c r="K23" s="142"/>
      <c r="L23" s="153"/>
      <c r="M23" s="142"/>
      <c r="N23" s="142"/>
      <c r="O23" s="161">
        <v>8</v>
      </c>
      <c r="P23" s="142"/>
      <c r="Q23" s="142"/>
      <c r="R23" s="191">
        <f t="shared" si="3"/>
        <v>3800000</v>
      </c>
      <c r="S23" s="142"/>
      <c r="T23" s="142"/>
      <c r="U23" s="161"/>
      <c r="V23" s="142"/>
      <c r="W23" s="175"/>
      <c r="X23" s="161"/>
      <c r="Y23" s="142"/>
      <c r="Z23" s="175"/>
      <c r="AA23" s="194">
        <v>3800000</v>
      </c>
      <c r="AB23" s="142"/>
      <c r="AC23" s="153"/>
      <c r="AD23" s="142"/>
      <c r="AE23" s="153" t="s">
        <v>364</v>
      </c>
      <c r="AF23" s="166"/>
      <c r="AG23" s="142"/>
      <c r="AH23" s="142"/>
      <c r="AI23" s="142"/>
      <c r="AJ23" s="161"/>
      <c r="AK23" s="142" t="s">
        <v>83</v>
      </c>
      <c r="AL23" s="142" t="s">
        <v>83</v>
      </c>
      <c r="AM23" s="142" t="s">
        <v>84</v>
      </c>
      <c r="AN23" s="142"/>
      <c r="AO23" s="142" t="s">
        <v>87</v>
      </c>
    </row>
    <row r="24" spans="1:41" s="18" customFormat="1" ht="28" customHeight="1">
      <c r="A24" s="175">
        <v>10</v>
      </c>
      <c r="B24" s="175" t="s">
        <v>154</v>
      </c>
      <c r="C24" s="175" t="s">
        <v>91</v>
      </c>
      <c r="D24" s="142"/>
      <c r="E24" s="162">
        <v>1500000</v>
      </c>
      <c r="F24" s="142"/>
      <c r="G24" s="163">
        <f t="shared" si="2"/>
        <v>187500</v>
      </c>
      <c r="H24" s="142">
        <v>8</v>
      </c>
      <c r="I24" s="175">
        <v>2</v>
      </c>
      <c r="J24" s="175"/>
      <c r="K24" s="142"/>
      <c r="L24" s="153"/>
      <c r="M24" s="142"/>
      <c r="N24" s="142"/>
      <c r="O24" s="161">
        <v>8</v>
      </c>
      <c r="P24" s="142"/>
      <c r="Q24" s="142"/>
      <c r="R24" s="191">
        <f t="shared" si="3"/>
        <v>3000000</v>
      </c>
      <c r="S24" s="142"/>
      <c r="T24" s="142"/>
      <c r="U24" s="161"/>
      <c r="V24" s="142"/>
      <c r="W24" s="175"/>
      <c r="X24" s="161"/>
      <c r="Y24" s="142"/>
      <c r="Z24" s="197" t="s">
        <v>92</v>
      </c>
      <c r="AA24" s="194">
        <v>3000000</v>
      </c>
      <c r="AB24" s="142"/>
      <c r="AC24" s="161"/>
      <c r="AD24" s="142"/>
      <c r="AE24" s="153" t="s">
        <v>364</v>
      </c>
      <c r="AF24" s="166"/>
      <c r="AG24" s="142"/>
      <c r="AH24" s="142"/>
      <c r="AI24" s="142"/>
      <c r="AJ24" s="142"/>
      <c r="AK24" s="142" t="s">
        <v>83</v>
      </c>
      <c r="AL24" s="142" t="s">
        <v>83</v>
      </c>
      <c r="AM24" s="142" t="s">
        <v>84</v>
      </c>
      <c r="AN24" s="142"/>
      <c r="AO24" s="142" t="s">
        <v>87</v>
      </c>
    </row>
    <row r="25" spans="1:41" s="18" customFormat="1" ht="28" customHeight="1">
      <c r="A25" s="175">
        <v>10</v>
      </c>
      <c r="B25" s="175" t="s">
        <v>154</v>
      </c>
      <c r="C25" s="175" t="s">
        <v>93</v>
      </c>
      <c r="D25" s="162">
        <v>108000</v>
      </c>
      <c r="E25" s="162"/>
      <c r="F25" s="142"/>
      <c r="G25" s="163">
        <f t="shared" si="2"/>
        <v>0</v>
      </c>
      <c r="H25" s="142">
        <v>8</v>
      </c>
      <c r="I25" s="175">
        <v>4</v>
      </c>
      <c r="J25" s="175">
        <v>104</v>
      </c>
      <c r="K25" s="142"/>
      <c r="L25" s="153"/>
      <c r="M25" s="142"/>
      <c r="N25" s="142"/>
      <c r="O25" s="161">
        <v>8</v>
      </c>
      <c r="P25" s="142"/>
      <c r="Q25" s="142"/>
      <c r="R25" s="191">
        <f>(J25*108000)+(K25*60000)</f>
        <v>11232000</v>
      </c>
      <c r="S25" s="142"/>
      <c r="T25" s="165">
        <f>R25*8%</f>
        <v>898560</v>
      </c>
      <c r="U25" s="164"/>
      <c r="V25" s="142"/>
      <c r="W25" s="194">
        <f>R25*20%</f>
        <v>2246400</v>
      </c>
      <c r="X25" s="161"/>
      <c r="Y25" s="165">
        <f>R25*12%</f>
        <v>1347840</v>
      </c>
      <c r="Z25" s="194">
        <f>Y25+T25</f>
        <v>2246400</v>
      </c>
      <c r="AA25" s="194">
        <v>6739200</v>
      </c>
      <c r="AB25" s="142"/>
      <c r="AC25" s="142"/>
      <c r="AD25" s="142"/>
      <c r="AE25" s="153" t="s">
        <v>364</v>
      </c>
      <c r="AF25" s="166"/>
      <c r="AG25" s="142"/>
      <c r="AH25" s="142"/>
      <c r="AI25" s="142"/>
      <c r="AJ25" s="142"/>
      <c r="AK25" s="142"/>
      <c r="AL25" s="142"/>
      <c r="AM25" s="142" t="s">
        <v>84</v>
      </c>
      <c r="AN25" s="142"/>
      <c r="AO25" s="142" t="s">
        <v>87</v>
      </c>
    </row>
    <row r="26" spans="1:41" s="18" customFormat="1" ht="28" customHeight="1">
      <c r="A26" s="175">
        <v>10</v>
      </c>
      <c r="B26" s="175" t="s">
        <v>154</v>
      </c>
      <c r="C26" s="175" t="s">
        <v>93</v>
      </c>
      <c r="D26" s="162">
        <v>108000</v>
      </c>
      <c r="E26" s="162"/>
      <c r="F26" s="142"/>
      <c r="G26" s="163">
        <f t="shared" si="2"/>
        <v>0</v>
      </c>
      <c r="H26" s="142">
        <v>8</v>
      </c>
      <c r="I26" s="175">
        <v>4</v>
      </c>
      <c r="J26" s="175">
        <v>104</v>
      </c>
      <c r="K26" s="142"/>
      <c r="L26" s="153"/>
      <c r="M26" s="142"/>
      <c r="N26" s="142"/>
      <c r="O26" s="161">
        <v>8</v>
      </c>
      <c r="P26" s="142"/>
      <c r="Q26" s="142"/>
      <c r="R26" s="191">
        <f>(J26*108000)+(K26*60000)</f>
        <v>11232000</v>
      </c>
      <c r="S26" s="142"/>
      <c r="T26" s="165">
        <f>R26*8%</f>
        <v>898560</v>
      </c>
      <c r="U26" s="164"/>
      <c r="V26" s="142"/>
      <c r="W26" s="194">
        <f>R26*20%</f>
        <v>2246400</v>
      </c>
      <c r="X26" s="161"/>
      <c r="Y26" s="165">
        <f>R26*12%</f>
        <v>1347840</v>
      </c>
      <c r="Z26" s="194">
        <f>Y26+T26</f>
        <v>2246400</v>
      </c>
      <c r="AA26" s="194">
        <v>6739200</v>
      </c>
      <c r="AB26" s="142"/>
      <c r="AC26" s="142"/>
      <c r="AD26" s="142"/>
      <c r="AE26" s="153" t="s">
        <v>364</v>
      </c>
      <c r="AF26" s="166"/>
      <c r="AG26" s="142"/>
      <c r="AH26" s="142"/>
      <c r="AI26" s="142"/>
      <c r="AJ26" s="142"/>
      <c r="AK26" s="142"/>
      <c r="AL26" s="142"/>
      <c r="AM26" s="142" t="s">
        <v>84</v>
      </c>
      <c r="AN26" s="142"/>
      <c r="AO26" s="142" t="s">
        <v>87</v>
      </c>
    </row>
    <row r="27" spans="1:41" s="19" customFormat="1" ht="28" customHeight="1">
      <c r="A27" s="175">
        <v>10</v>
      </c>
      <c r="B27" s="175" t="s">
        <v>154</v>
      </c>
      <c r="C27" s="175" t="s">
        <v>151</v>
      </c>
      <c r="D27" s="162"/>
      <c r="E27" s="162">
        <v>4300000</v>
      </c>
      <c r="F27" s="142"/>
      <c r="G27" s="163"/>
      <c r="H27" s="142">
        <v>8</v>
      </c>
      <c r="I27" s="175">
        <v>12</v>
      </c>
      <c r="J27" s="175"/>
      <c r="K27" s="142"/>
      <c r="L27" s="153"/>
      <c r="M27" s="142"/>
      <c r="N27" s="142"/>
      <c r="O27" s="142">
        <v>4</v>
      </c>
      <c r="P27" s="142"/>
      <c r="Q27" s="142"/>
      <c r="R27" s="191">
        <f>I27*E27</f>
        <v>51600000</v>
      </c>
      <c r="S27" s="142"/>
      <c r="T27" s="165"/>
      <c r="U27" s="164"/>
      <c r="V27" s="142"/>
      <c r="W27" s="194"/>
      <c r="X27" s="161"/>
      <c r="Y27" s="165"/>
      <c r="Z27" s="194"/>
      <c r="AA27" s="194">
        <v>51600000</v>
      </c>
      <c r="AB27" s="142"/>
      <c r="AC27" s="142"/>
      <c r="AD27" s="142"/>
      <c r="AE27" s="153" t="s">
        <v>364</v>
      </c>
      <c r="AF27" s="166"/>
      <c r="AG27" s="142"/>
      <c r="AH27" s="142"/>
      <c r="AI27" s="142"/>
      <c r="AJ27" s="142"/>
      <c r="AK27" s="142" t="s">
        <v>83</v>
      </c>
      <c r="AL27" s="142" t="s">
        <v>83</v>
      </c>
      <c r="AM27" s="142" t="s">
        <v>94</v>
      </c>
      <c r="AN27" s="142"/>
      <c r="AO27" s="142" t="s">
        <v>95</v>
      </c>
    </row>
    <row r="28" spans="1:41" s="19" customFormat="1" ht="28" customHeight="1">
      <c r="A28" s="175">
        <v>10</v>
      </c>
      <c r="B28" s="175" t="s">
        <v>155</v>
      </c>
      <c r="C28" s="175" t="s">
        <v>99</v>
      </c>
      <c r="D28" s="162">
        <v>300000</v>
      </c>
      <c r="E28" s="162"/>
      <c r="F28" s="142"/>
      <c r="G28" s="163"/>
      <c r="H28" s="142">
        <v>4</v>
      </c>
      <c r="I28" s="175">
        <v>9</v>
      </c>
      <c r="J28" s="175">
        <v>248</v>
      </c>
      <c r="K28" s="142"/>
      <c r="L28" s="153"/>
      <c r="M28" s="142"/>
      <c r="N28" s="142"/>
      <c r="O28" s="142">
        <v>4</v>
      </c>
      <c r="P28" s="142"/>
      <c r="Q28" s="142"/>
      <c r="R28" s="191">
        <f>J28*D28</f>
        <v>74400000</v>
      </c>
      <c r="S28" s="142"/>
      <c r="T28" s="165"/>
      <c r="U28" s="164"/>
      <c r="V28" s="142"/>
      <c r="W28" s="194">
        <v>19096000</v>
      </c>
      <c r="X28" s="161"/>
      <c r="Y28" s="165"/>
      <c r="Z28" s="194">
        <v>18600000</v>
      </c>
      <c r="AA28" s="194">
        <v>36704000</v>
      </c>
      <c r="AB28" s="142"/>
      <c r="AC28" s="142"/>
      <c r="AD28" s="142"/>
      <c r="AE28" s="153" t="s">
        <v>364</v>
      </c>
      <c r="AF28" s="166"/>
      <c r="AG28" s="142"/>
      <c r="AH28" s="142"/>
      <c r="AI28" s="142"/>
      <c r="AJ28" s="142"/>
      <c r="AK28" s="142"/>
      <c r="AL28" s="142"/>
      <c r="AM28" s="142" t="s">
        <v>94</v>
      </c>
      <c r="AN28" s="142"/>
      <c r="AO28" s="142" t="s">
        <v>95</v>
      </c>
    </row>
    <row r="29" spans="1:41" s="19" customFormat="1" ht="28" customHeight="1">
      <c r="A29" s="175">
        <v>10</v>
      </c>
      <c r="B29" s="175" t="s">
        <v>156</v>
      </c>
      <c r="C29" s="175" t="s">
        <v>97</v>
      </c>
      <c r="D29" s="162">
        <v>65000</v>
      </c>
      <c r="E29" s="162"/>
      <c r="F29" s="142"/>
      <c r="G29" s="163"/>
      <c r="H29" s="142">
        <v>8</v>
      </c>
      <c r="I29" s="175">
        <v>1</v>
      </c>
      <c r="J29" s="175">
        <v>28</v>
      </c>
      <c r="K29" s="142"/>
      <c r="L29" s="153"/>
      <c r="M29" s="142"/>
      <c r="N29" s="142"/>
      <c r="O29" s="142">
        <v>8</v>
      </c>
      <c r="P29" s="142"/>
      <c r="Q29" s="142"/>
      <c r="R29" s="191">
        <f t="shared" ref="R29:R30" si="4">J29*D29</f>
        <v>1820000</v>
      </c>
      <c r="S29" s="142"/>
      <c r="T29" s="165"/>
      <c r="U29" s="164"/>
      <c r="V29" s="142"/>
      <c r="W29" s="194"/>
      <c r="X29" s="161"/>
      <c r="Y29" s="165"/>
      <c r="Z29" s="194"/>
      <c r="AA29" s="194">
        <v>1820000</v>
      </c>
      <c r="AB29" s="142"/>
      <c r="AC29" s="142"/>
      <c r="AD29" s="142"/>
      <c r="AE29" s="153" t="s">
        <v>364</v>
      </c>
      <c r="AF29" s="166"/>
      <c r="AG29" s="142"/>
      <c r="AH29" s="142"/>
      <c r="AI29" s="142"/>
      <c r="AJ29" s="142"/>
      <c r="AK29" s="142"/>
      <c r="AL29" s="142"/>
      <c r="AM29" s="142" t="s">
        <v>84</v>
      </c>
      <c r="AN29" s="142"/>
      <c r="AO29" s="142" t="s">
        <v>152</v>
      </c>
    </row>
    <row r="30" spans="1:41" s="19" customFormat="1" ht="28" customHeight="1">
      <c r="A30" s="175">
        <v>10</v>
      </c>
      <c r="B30" s="175" t="s">
        <v>156</v>
      </c>
      <c r="C30" s="175" t="s">
        <v>98</v>
      </c>
      <c r="D30" s="162">
        <v>65000</v>
      </c>
      <c r="E30" s="162"/>
      <c r="F30" s="142"/>
      <c r="G30" s="163"/>
      <c r="H30" s="142">
        <v>8</v>
      </c>
      <c r="I30" s="175">
        <v>1</v>
      </c>
      <c r="J30" s="175">
        <v>40</v>
      </c>
      <c r="K30" s="142"/>
      <c r="L30" s="153"/>
      <c r="M30" s="142"/>
      <c r="N30" s="142"/>
      <c r="O30" s="142">
        <v>8</v>
      </c>
      <c r="P30" s="142"/>
      <c r="Q30" s="142"/>
      <c r="R30" s="191">
        <f t="shared" si="4"/>
        <v>2600000</v>
      </c>
      <c r="S30" s="142"/>
      <c r="T30" s="165"/>
      <c r="U30" s="164"/>
      <c r="V30" s="142"/>
      <c r="W30" s="194"/>
      <c r="X30" s="161"/>
      <c r="Y30" s="165"/>
      <c r="Z30" s="194"/>
      <c r="AA30" s="194">
        <v>2600000</v>
      </c>
      <c r="AB30" s="142"/>
      <c r="AC30" s="142"/>
      <c r="AD30" s="142"/>
      <c r="AE30" s="153" t="s">
        <v>364</v>
      </c>
      <c r="AF30" s="166"/>
      <c r="AG30" s="142"/>
      <c r="AH30" s="142"/>
      <c r="AI30" s="142"/>
      <c r="AJ30" s="142"/>
      <c r="AK30" s="142"/>
      <c r="AL30" s="142"/>
      <c r="AM30" s="142" t="s">
        <v>84</v>
      </c>
      <c r="AN30" s="142"/>
      <c r="AO30" s="142" t="s">
        <v>152</v>
      </c>
    </row>
    <row r="31" spans="1:41" s="53" customFormat="1" ht="28" customHeight="1">
      <c r="A31" s="181"/>
      <c r="B31" s="181"/>
      <c r="C31" s="182" t="s">
        <v>96</v>
      </c>
      <c r="D31" s="143"/>
      <c r="E31" s="143"/>
      <c r="F31" s="143"/>
      <c r="G31" s="143"/>
      <c r="H31" s="143"/>
      <c r="I31" s="181"/>
      <c r="J31" s="181"/>
      <c r="K31" s="143"/>
      <c r="L31" s="143"/>
      <c r="M31" s="143"/>
      <c r="N31" s="143"/>
      <c r="O31" s="143"/>
      <c r="P31" s="143"/>
      <c r="Q31" s="143"/>
      <c r="R31" s="192">
        <f>SUM(R3:R30)</f>
        <v>287796500</v>
      </c>
      <c r="S31" s="143"/>
      <c r="T31" s="168"/>
      <c r="U31" s="168"/>
      <c r="V31" s="168"/>
      <c r="W31" s="195">
        <f t="shared" ref="W31" si="5">SUM(W3:W30)</f>
        <v>35947800</v>
      </c>
      <c r="X31" s="168"/>
      <c r="Y31" s="168"/>
      <c r="Z31" s="195">
        <f>SUM(Z3:Z30)</f>
        <v>35197800</v>
      </c>
      <c r="AA31" s="195">
        <f>SUM(AA3:AA30)</f>
        <v>216650900</v>
      </c>
      <c r="AB31" s="167" t="s">
        <v>92</v>
      </c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</row>
  </sheetData>
  <autoFilter ref="A1:AO31" xr:uid="{102D2D6B-69AB-4E47-9246-509FE9448E7E}"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</autoFilter>
  <mergeCells count="5">
    <mergeCell ref="D1:H1"/>
    <mergeCell ref="I1:N1"/>
    <mergeCell ref="O1:Q1"/>
    <mergeCell ref="R1:AE1"/>
    <mergeCell ref="AF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A63D-9E7C-40E1-BF58-F2DC9B45D3FB}">
  <dimension ref="A1:AJ293"/>
  <sheetViews>
    <sheetView tabSelected="1" zoomScale="69" zoomScaleNormal="69" workbookViewId="0">
      <selection activeCell="D8" sqref="D8"/>
    </sheetView>
  </sheetViews>
  <sheetFormatPr defaultRowHeight="15.5"/>
  <cols>
    <col min="1" max="2" width="8.6640625" style="122"/>
    <col min="3" max="3" width="30.75" style="122" customWidth="1"/>
    <col min="4" max="4" width="70.08203125" style="122" customWidth="1"/>
    <col min="5" max="5" width="21.25" style="124" customWidth="1"/>
    <col min="6" max="6" width="0" style="123" hidden="1" customWidth="1"/>
    <col min="7" max="7" width="9.6640625" style="123" hidden="1" customWidth="1"/>
    <col min="8" max="8" width="10.75" style="123" hidden="1" customWidth="1"/>
    <col min="9" max="9" width="11.33203125" style="123" hidden="1" customWidth="1"/>
    <col min="10" max="10" width="13.58203125" style="123" hidden="1" customWidth="1"/>
    <col min="11" max="11" width="0" style="123" hidden="1" customWidth="1"/>
    <col min="12" max="12" width="11.83203125" style="123" hidden="1" customWidth="1"/>
    <col min="13" max="13" width="11.83203125" style="123" customWidth="1"/>
    <col min="14" max="14" width="11.83203125" style="124" customWidth="1"/>
    <col min="15" max="15" width="21.75" style="128" customWidth="1"/>
    <col min="16" max="16" width="36.75" style="123" hidden="1" customWidth="1"/>
    <col min="17" max="17" width="32.75" style="123" customWidth="1"/>
    <col min="18" max="16384" width="8.6640625" style="123"/>
  </cols>
  <sheetData>
    <row r="1" spans="1:36" s="17" customFormat="1" ht="27.5" customHeight="1" thickBot="1">
      <c r="A1" s="8" t="s">
        <v>0</v>
      </c>
      <c r="B1" s="8" t="s">
        <v>159</v>
      </c>
      <c r="C1" s="8" t="s">
        <v>158</v>
      </c>
      <c r="D1" s="8" t="s">
        <v>138</v>
      </c>
      <c r="E1" s="8" t="s">
        <v>111</v>
      </c>
      <c r="F1" s="8" t="s">
        <v>35</v>
      </c>
      <c r="G1" s="8" t="s">
        <v>39</v>
      </c>
      <c r="H1" s="8" t="s">
        <v>1</v>
      </c>
      <c r="I1" s="8" t="s">
        <v>29</v>
      </c>
      <c r="J1" s="21" t="s">
        <v>2</v>
      </c>
      <c r="K1" s="8" t="s">
        <v>3</v>
      </c>
      <c r="L1" s="8" t="s">
        <v>100</v>
      </c>
      <c r="M1" s="8" t="s">
        <v>193</v>
      </c>
      <c r="N1" s="8" t="s">
        <v>191</v>
      </c>
      <c r="O1" s="67" t="s">
        <v>4</v>
      </c>
      <c r="P1" s="8" t="s">
        <v>5</v>
      </c>
      <c r="Q1" s="15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s="6" customFormat="1" ht="23.5" customHeight="1" thickBot="1">
      <c r="A2" s="81">
        <v>1</v>
      </c>
      <c r="B2" s="81">
        <v>6</v>
      </c>
      <c r="C2" s="22" t="s">
        <v>155</v>
      </c>
      <c r="D2" s="82" t="s">
        <v>213</v>
      </c>
      <c r="E2" s="81" t="s">
        <v>330</v>
      </c>
      <c r="F2" s="23"/>
      <c r="G2" s="23"/>
      <c r="H2" s="25"/>
      <c r="I2" s="22"/>
      <c r="J2" s="26"/>
      <c r="K2" s="22"/>
      <c r="L2" s="25"/>
      <c r="M2" s="83" t="s">
        <v>195</v>
      </c>
      <c r="N2" s="22" t="s">
        <v>192</v>
      </c>
      <c r="O2" s="114">
        <v>10000000</v>
      </c>
      <c r="P2" s="2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6" customFormat="1" ht="23.5" customHeight="1" thickBot="1">
      <c r="A3" s="81">
        <v>2</v>
      </c>
      <c r="B3" s="81">
        <v>6</v>
      </c>
      <c r="C3" s="22" t="s">
        <v>155</v>
      </c>
      <c r="D3" s="82" t="s">
        <v>214</v>
      </c>
      <c r="E3" s="81" t="s">
        <v>330</v>
      </c>
      <c r="F3" s="23"/>
      <c r="G3" s="23"/>
      <c r="H3" s="25"/>
      <c r="I3" s="22"/>
      <c r="J3" s="26"/>
      <c r="K3" s="22"/>
      <c r="L3" s="25"/>
      <c r="M3" s="83" t="s">
        <v>195</v>
      </c>
      <c r="N3" s="22" t="s">
        <v>192</v>
      </c>
      <c r="O3" s="114">
        <v>10000000</v>
      </c>
      <c r="P3" s="22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6" customFormat="1" ht="23.5" customHeight="1" thickBot="1">
      <c r="A4" s="22">
        <v>3</v>
      </c>
      <c r="B4" s="81">
        <v>7</v>
      </c>
      <c r="C4" s="22" t="s">
        <v>155</v>
      </c>
      <c r="D4" s="82" t="s">
        <v>214</v>
      </c>
      <c r="E4" s="81" t="s">
        <v>330</v>
      </c>
      <c r="F4" s="23"/>
      <c r="G4" s="23"/>
      <c r="H4" s="25"/>
      <c r="I4" s="22"/>
      <c r="J4" s="26"/>
      <c r="K4" s="22"/>
      <c r="L4" s="25"/>
      <c r="M4" s="83" t="s">
        <v>195</v>
      </c>
      <c r="N4" s="22" t="s">
        <v>192</v>
      </c>
      <c r="O4" s="114">
        <v>10000000</v>
      </c>
      <c r="P4" s="22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6" customFormat="1" ht="23.5" customHeight="1" thickBot="1">
      <c r="A5" s="81">
        <v>4</v>
      </c>
      <c r="B5" s="81">
        <v>7</v>
      </c>
      <c r="C5" s="22" t="s">
        <v>338</v>
      </c>
      <c r="D5" s="82" t="s">
        <v>215</v>
      </c>
      <c r="E5" s="81" t="s">
        <v>330</v>
      </c>
      <c r="F5" s="23"/>
      <c r="G5" s="23"/>
      <c r="H5" s="25"/>
      <c r="I5" s="22"/>
      <c r="J5" s="26"/>
      <c r="K5" s="22"/>
      <c r="L5" s="25"/>
      <c r="M5" s="83" t="s">
        <v>197</v>
      </c>
      <c r="N5" s="22" t="s">
        <v>192</v>
      </c>
      <c r="O5" s="114">
        <v>4000000</v>
      </c>
      <c r="P5" s="22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6" customFormat="1" ht="23.5" customHeight="1" thickBot="1">
      <c r="A6" s="81">
        <v>5</v>
      </c>
      <c r="B6" s="81">
        <v>6</v>
      </c>
      <c r="C6" s="22" t="s">
        <v>155</v>
      </c>
      <c r="D6" s="82" t="s">
        <v>216</v>
      </c>
      <c r="E6" s="81" t="s">
        <v>331</v>
      </c>
      <c r="F6" s="23"/>
      <c r="G6" s="23"/>
      <c r="H6" s="25"/>
      <c r="I6" s="22"/>
      <c r="J6" s="26"/>
      <c r="K6" s="22"/>
      <c r="L6" s="25"/>
      <c r="M6" s="83" t="s">
        <v>195</v>
      </c>
      <c r="N6" s="22" t="s">
        <v>192</v>
      </c>
      <c r="O6" s="114">
        <v>5000000</v>
      </c>
      <c r="P6" s="22"/>
      <c r="Q6" s="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s="6" customFormat="1" ht="23.5" customHeight="1" thickBot="1">
      <c r="A7" s="81">
        <v>6</v>
      </c>
      <c r="B7" s="81">
        <v>6</v>
      </c>
      <c r="C7" s="22" t="s">
        <v>155</v>
      </c>
      <c r="D7" s="82" t="s">
        <v>217</v>
      </c>
      <c r="E7" s="81" t="s">
        <v>331</v>
      </c>
      <c r="F7" s="23"/>
      <c r="G7" s="23"/>
      <c r="H7" s="25"/>
      <c r="I7" s="22"/>
      <c r="J7" s="26"/>
      <c r="K7" s="22"/>
      <c r="L7" s="25"/>
      <c r="M7" s="83" t="s">
        <v>195</v>
      </c>
      <c r="N7" s="22" t="s">
        <v>192</v>
      </c>
      <c r="O7" s="114">
        <v>4400000</v>
      </c>
      <c r="P7" s="22"/>
      <c r="Q7" s="4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s="6" customFormat="1" ht="23.5" customHeight="1" thickBot="1">
      <c r="A8" s="22">
        <v>7</v>
      </c>
      <c r="B8" s="81">
        <v>6</v>
      </c>
      <c r="C8" s="22" t="s">
        <v>154</v>
      </c>
      <c r="D8" s="82" t="s">
        <v>217</v>
      </c>
      <c r="E8" s="81" t="s">
        <v>331</v>
      </c>
      <c r="F8" s="23"/>
      <c r="G8" s="23"/>
      <c r="H8" s="25"/>
      <c r="I8" s="22"/>
      <c r="J8" s="26"/>
      <c r="K8" s="22"/>
      <c r="L8" s="25"/>
      <c r="M8" s="83" t="s">
        <v>195</v>
      </c>
      <c r="N8" s="22" t="s">
        <v>192</v>
      </c>
      <c r="O8" s="114">
        <v>2200000</v>
      </c>
      <c r="P8" s="22"/>
      <c r="Q8" s="4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s="6" customFormat="1" ht="23.5" customHeight="1" thickBot="1">
      <c r="A9" s="81">
        <v>8</v>
      </c>
      <c r="B9" s="81">
        <v>6</v>
      </c>
      <c r="C9" s="22" t="s">
        <v>155</v>
      </c>
      <c r="D9" s="82" t="s">
        <v>218</v>
      </c>
      <c r="E9" s="81" t="s">
        <v>331</v>
      </c>
      <c r="F9" s="23"/>
      <c r="G9" s="23"/>
      <c r="H9" s="25"/>
      <c r="I9" s="22"/>
      <c r="J9" s="26"/>
      <c r="K9" s="22"/>
      <c r="L9" s="25"/>
      <c r="M9" s="83" t="s">
        <v>195</v>
      </c>
      <c r="N9" s="22" t="s">
        <v>192</v>
      </c>
      <c r="O9" s="114">
        <v>1800000</v>
      </c>
      <c r="P9" s="22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s="6" customFormat="1" ht="23.5" customHeight="1" thickBot="1">
      <c r="A10" s="81">
        <v>9</v>
      </c>
      <c r="B10" s="81">
        <v>6</v>
      </c>
      <c r="C10" s="22" t="s">
        <v>154</v>
      </c>
      <c r="D10" s="82" t="s">
        <v>218</v>
      </c>
      <c r="E10" s="81" t="s">
        <v>331</v>
      </c>
      <c r="F10" s="23"/>
      <c r="G10" s="23"/>
      <c r="H10" s="25"/>
      <c r="I10" s="22"/>
      <c r="J10" s="26"/>
      <c r="K10" s="22"/>
      <c r="L10" s="25"/>
      <c r="M10" s="83" t="s">
        <v>195</v>
      </c>
      <c r="N10" s="22" t="s">
        <v>192</v>
      </c>
      <c r="O10" s="114">
        <v>1800000</v>
      </c>
      <c r="P10" s="22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s="6" customFormat="1" ht="23.5" customHeight="1" thickBot="1">
      <c r="A11" s="81">
        <v>10</v>
      </c>
      <c r="B11" s="81">
        <v>6</v>
      </c>
      <c r="C11" s="22" t="s">
        <v>155</v>
      </c>
      <c r="D11" s="82" t="s">
        <v>219</v>
      </c>
      <c r="E11" s="81" t="s">
        <v>331</v>
      </c>
      <c r="F11" s="23"/>
      <c r="G11" s="23"/>
      <c r="H11" s="25"/>
      <c r="I11" s="22"/>
      <c r="J11" s="26"/>
      <c r="K11" s="22"/>
      <c r="L11" s="25"/>
      <c r="M11" s="83" t="s">
        <v>195</v>
      </c>
      <c r="N11" s="22" t="s">
        <v>192</v>
      </c>
      <c r="O11" s="114">
        <v>2500000</v>
      </c>
      <c r="P11" s="22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s="6" customFormat="1" ht="23.5" customHeight="1" thickBot="1">
      <c r="A12" s="22">
        <v>11</v>
      </c>
      <c r="B12" s="81">
        <v>6</v>
      </c>
      <c r="C12" s="22" t="s">
        <v>154</v>
      </c>
      <c r="D12" s="82" t="s">
        <v>222</v>
      </c>
      <c r="E12" s="81" t="s">
        <v>331</v>
      </c>
      <c r="F12" s="23"/>
      <c r="G12" s="23"/>
      <c r="H12" s="25"/>
      <c r="I12" s="22"/>
      <c r="J12" s="26"/>
      <c r="K12" s="22"/>
      <c r="L12" s="25"/>
      <c r="M12" s="83" t="s">
        <v>195</v>
      </c>
      <c r="N12" s="22" t="s">
        <v>192</v>
      </c>
      <c r="O12" s="114">
        <v>6000000</v>
      </c>
      <c r="P12" s="22"/>
      <c r="Q12" s="4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s="6" customFormat="1" ht="23.5" customHeight="1" thickBot="1">
      <c r="A13" s="81">
        <v>12</v>
      </c>
      <c r="B13" s="81">
        <v>6</v>
      </c>
      <c r="C13" s="22" t="s">
        <v>155</v>
      </c>
      <c r="D13" s="82" t="s">
        <v>340</v>
      </c>
      <c r="E13" s="81" t="s">
        <v>331</v>
      </c>
      <c r="F13" s="23"/>
      <c r="G13" s="23"/>
      <c r="H13" s="25"/>
      <c r="I13" s="22"/>
      <c r="J13" s="26"/>
      <c r="K13" s="22"/>
      <c r="L13" s="25"/>
      <c r="M13" s="83" t="s">
        <v>195</v>
      </c>
      <c r="N13" s="22" t="s">
        <v>192</v>
      </c>
      <c r="O13" s="114">
        <v>6000000</v>
      </c>
      <c r="P13" s="22"/>
      <c r="Q13" s="4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s="6" customFormat="1" ht="23.5" customHeight="1" thickBot="1">
      <c r="A14" s="81">
        <v>13</v>
      </c>
      <c r="B14" s="81">
        <v>6</v>
      </c>
      <c r="C14" s="22" t="s">
        <v>154</v>
      </c>
      <c r="D14" s="82" t="s">
        <v>220</v>
      </c>
      <c r="E14" s="81" t="s">
        <v>331</v>
      </c>
      <c r="F14" s="23"/>
      <c r="G14" s="23"/>
      <c r="H14" s="25"/>
      <c r="I14" s="22"/>
      <c r="J14" s="26"/>
      <c r="K14" s="22"/>
      <c r="L14" s="25"/>
      <c r="M14" s="83" t="s">
        <v>195</v>
      </c>
      <c r="N14" s="22" t="s">
        <v>192</v>
      </c>
      <c r="O14" s="114">
        <v>700000</v>
      </c>
      <c r="P14" s="22"/>
      <c r="Q14" s="4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s="6" customFormat="1" ht="23.5" customHeight="1" thickBot="1">
      <c r="A15" s="81">
        <v>14</v>
      </c>
      <c r="B15" s="81">
        <v>6</v>
      </c>
      <c r="C15" s="22" t="s">
        <v>155</v>
      </c>
      <c r="D15" s="82" t="s">
        <v>220</v>
      </c>
      <c r="E15" s="81" t="s">
        <v>331</v>
      </c>
      <c r="F15" s="23"/>
      <c r="G15" s="23"/>
      <c r="H15" s="25"/>
      <c r="I15" s="22"/>
      <c r="J15" s="26"/>
      <c r="K15" s="22"/>
      <c r="L15" s="25"/>
      <c r="M15" s="83" t="s">
        <v>195</v>
      </c>
      <c r="N15" s="22" t="s">
        <v>192</v>
      </c>
      <c r="O15" s="114">
        <v>700000</v>
      </c>
      <c r="P15" s="22"/>
      <c r="Q15" s="4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s="6" customFormat="1" ht="23.5" customHeight="1" thickBot="1">
      <c r="A16" s="22">
        <v>15</v>
      </c>
      <c r="B16" s="81">
        <v>6</v>
      </c>
      <c r="C16" s="22" t="s">
        <v>154</v>
      </c>
      <c r="D16" s="82" t="s">
        <v>221</v>
      </c>
      <c r="E16" s="81" t="s">
        <v>331</v>
      </c>
      <c r="F16" s="23"/>
      <c r="G16" s="23"/>
      <c r="H16" s="25"/>
      <c r="I16" s="22"/>
      <c r="J16" s="26"/>
      <c r="K16" s="22"/>
      <c r="L16" s="25"/>
      <c r="M16" s="83" t="s">
        <v>195</v>
      </c>
      <c r="N16" s="22" t="s">
        <v>192</v>
      </c>
      <c r="O16" s="114">
        <v>2400000</v>
      </c>
      <c r="P16" s="22"/>
      <c r="Q16" s="4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s="6" customFormat="1" ht="23.5" customHeight="1" thickBot="1">
      <c r="A17" s="81">
        <v>16</v>
      </c>
      <c r="B17" s="81">
        <v>6</v>
      </c>
      <c r="C17" s="22" t="s">
        <v>155</v>
      </c>
      <c r="D17" s="82" t="s">
        <v>222</v>
      </c>
      <c r="E17" s="81" t="s">
        <v>331</v>
      </c>
      <c r="F17" s="23"/>
      <c r="G17" s="23"/>
      <c r="H17" s="25"/>
      <c r="I17" s="22"/>
      <c r="J17" s="26"/>
      <c r="K17" s="22"/>
      <c r="L17" s="25"/>
      <c r="M17" s="83" t="s">
        <v>195</v>
      </c>
      <c r="N17" s="22" t="s">
        <v>192</v>
      </c>
      <c r="O17" s="114">
        <v>900000</v>
      </c>
      <c r="P17" s="22"/>
      <c r="Q17" s="4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s="6" customFormat="1" ht="23.5" customHeight="1" thickBot="1">
      <c r="A18" s="81">
        <v>17</v>
      </c>
      <c r="B18" s="81">
        <v>6</v>
      </c>
      <c r="C18" s="22" t="s">
        <v>155</v>
      </c>
      <c r="D18" s="82" t="s">
        <v>223</v>
      </c>
      <c r="E18" s="81" t="s">
        <v>331</v>
      </c>
      <c r="F18" s="23"/>
      <c r="G18" s="23"/>
      <c r="H18" s="25"/>
      <c r="I18" s="22"/>
      <c r="J18" s="26"/>
      <c r="K18" s="22"/>
      <c r="L18" s="25"/>
      <c r="M18" s="83" t="s">
        <v>195</v>
      </c>
      <c r="N18" s="22" t="s">
        <v>192</v>
      </c>
      <c r="O18" s="114">
        <v>3300000</v>
      </c>
      <c r="P18" s="22"/>
      <c r="Q18" s="4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s="6" customFormat="1" ht="23.5" customHeight="1" thickBot="1">
      <c r="A19" s="81">
        <v>18</v>
      </c>
      <c r="B19" s="81">
        <v>6</v>
      </c>
      <c r="C19" s="22" t="s">
        <v>155</v>
      </c>
      <c r="D19" s="82" t="s">
        <v>224</v>
      </c>
      <c r="E19" s="81" t="s">
        <v>331</v>
      </c>
      <c r="F19" s="23"/>
      <c r="G19" s="23"/>
      <c r="H19" s="25"/>
      <c r="I19" s="22"/>
      <c r="J19" s="26"/>
      <c r="K19" s="22"/>
      <c r="L19" s="25"/>
      <c r="M19" s="83" t="s">
        <v>195</v>
      </c>
      <c r="N19" s="22" t="s">
        <v>192</v>
      </c>
      <c r="O19" s="114">
        <v>500000</v>
      </c>
      <c r="P19" s="22"/>
      <c r="Q19" s="4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s="6" customFormat="1" ht="23.5" customHeight="1" thickBot="1">
      <c r="A20" s="22">
        <v>19</v>
      </c>
      <c r="B20" s="81">
        <v>6</v>
      </c>
      <c r="C20" s="22" t="s">
        <v>155</v>
      </c>
      <c r="D20" s="82" t="s">
        <v>225</v>
      </c>
      <c r="E20" s="81" t="s">
        <v>331</v>
      </c>
      <c r="F20" s="23"/>
      <c r="G20" s="23"/>
      <c r="H20" s="25"/>
      <c r="I20" s="22"/>
      <c r="J20" s="26"/>
      <c r="K20" s="22"/>
      <c r="L20" s="25"/>
      <c r="M20" s="83" t="s">
        <v>195</v>
      </c>
      <c r="N20" s="22" t="s">
        <v>192</v>
      </c>
      <c r="O20" s="114">
        <v>2160000</v>
      </c>
      <c r="P20" s="22"/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s="6" customFormat="1" ht="23.5" customHeight="1" thickBot="1">
      <c r="A21" s="81">
        <v>20</v>
      </c>
      <c r="B21" s="81">
        <v>6</v>
      </c>
      <c r="C21" s="22" t="s">
        <v>155</v>
      </c>
      <c r="D21" s="82" t="s">
        <v>226</v>
      </c>
      <c r="E21" s="81" t="s">
        <v>331</v>
      </c>
      <c r="F21" s="23"/>
      <c r="G21" s="23"/>
      <c r="H21" s="25"/>
      <c r="I21" s="22"/>
      <c r="J21" s="26"/>
      <c r="K21" s="22"/>
      <c r="L21" s="25"/>
      <c r="M21" s="83" t="s">
        <v>195</v>
      </c>
      <c r="N21" s="22" t="s">
        <v>192</v>
      </c>
      <c r="O21" s="114">
        <v>1320000</v>
      </c>
      <c r="P21" s="22"/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s="6" customFormat="1" ht="23.5" customHeight="1" thickBot="1">
      <c r="A22" s="81">
        <v>21</v>
      </c>
      <c r="B22" s="81">
        <v>6</v>
      </c>
      <c r="C22" s="22" t="s">
        <v>155</v>
      </c>
      <c r="D22" s="82" t="s">
        <v>227</v>
      </c>
      <c r="E22" s="81" t="s">
        <v>331</v>
      </c>
      <c r="F22" s="23"/>
      <c r="G22" s="23"/>
      <c r="H22" s="25"/>
      <c r="I22" s="22"/>
      <c r="J22" s="26"/>
      <c r="K22" s="22"/>
      <c r="L22" s="25"/>
      <c r="M22" s="83" t="s">
        <v>195</v>
      </c>
      <c r="N22" s="22" t="s">
        <v>192</v>
      </c>
      <c r="O22" s="114">
        <v>2000000</v>
      </c>
      <c r="P22" s="22"/>
      <c r="Q22" s="4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s="6" customFormat="1" ht="23.5" customHeight="1" thickBot="1">
      <c r="A23" s="81">
        <v>22</v>
      </c>
      <c r="B23" s="81">
        <v>6</v>
      </c>
      <c r="C23" s="22" t="s">
        <v>155</v>
      </c>
      <c r="D23" s="82" t="s">
        <v>228</v>
      </c>
      <c r="E23" s="81" t="s">
        <v>331</v>
      </c>
      <c r="F23" s="23"/>
      <c r="G23" s="23"/>
      <c r="H23" s="25"/>
      <c r="I23" s="22"/>
      <c r="J23" s="26"/>
      <c r="K23" s="22"/>
      <c r="L23" s="25"/>
      <c r="M23" s="83" t="s">
        <v>194</v>
      </c>
      <c r="N23" s="22" t="s">
        <v>192</v>
      </c>
      <c r="O23" s="114">
        <v>1700000</v>
      </c>
      <c r="P23" s="22"/>
      <c r="Q23" s="4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s="6" customFormat="1" ht="23.5" customHeight="1" thickBot="1">
      <c r="A24" s="22">
        <v>23</v>
      </c>
      <c r="B24" s="81">
        <v>6</v>
      </c>
      <c r="C24" s="22" t="s">
        <v>154</v>
      </c>
      <c r="D24" s="82" t="s">
        <v>228</v>
      </c>
      <c r="E24" s="81" t="s">
        <v>331</v>
      </c>
      <c r="F24" s="23"/>
      <c r="G24" s="23"/>
      <c r="H24" s="25"/>
      <c r="I24" s="22"/>
      <c r="J24" s="26"/>
      <c r="K24" s="22"/>
      <c r="L24" s="25"/>
      <c r="M24" s="83" t="s">
        <v>194</v>
      </c>
      <c r="N24" s="22" t="s">
        <v>192</v>
      </c>
      <c r="O24" s="114">
        <v>1700000</v>
      </c>
      <c r="P24" s="22"/>
      <c r="Q24" s="4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s="6" customFormat="1" ht="23.5" customHeight="1" thickBot="1">
      <c r="A25" s="81">
        <v>24</v>
      </c>
      <c r="B25" s="81">
        <v>6</v>
      </c>
      <c r="C25" s="22" t="s">
        <v>157</v>
      </c>
      <c r="D25" s="82" t="s">
        <v>228</v>
      </c>
      <c r="E25" s="81" t="s">
        <v>331</v>
      </c>
      <c r="F25" s="23"/>
      <c r="G25" s="23"/>
      <c r="H25" s="25"/>
      <c r="I25" s="22"/>
      <c r="J25" s="26"/>
      <c r="K25" s="22"/>
      <c r="L25" s="25"/>
      <c r="M25" s="83" t="s">
        <v>194</v>
      </c>
      <c r="N25" s="22" t="s">
        <v>192</v>
      </c>
      <c r="O25" s="114">
        <v>1700000</v>
      </c>
      <c r="P25" s="22"/>
      <c r="Q25" s="4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s="6" customFormat="1" ht="23.5" customHeight="1" thickBot="1">
      <c r="A26" s="81">
        <v>25</v>
      </c>
      <c r="B26" s="81">
        <v>6</v>
      </c>
      <c r="C26" s="22" t="s">
        <v>154</v>
      </c>
      <c r="D26" s="82" t="s">
        <v>229</v>
      </c>
      <c r="E26" s="81" t="s">
        <v>331</v>
      </c>
      <c r="F26" s="23"/>
      <c r="G26" s="23"/>
      <c r="H26" s="25"/>
      <c r="I26" s="22"/>
      <c r="J26" s="26"/>
      <c r="K26" s="22"/>
      <c r="L26" s="25"/>
      <c r="M26" s="83" t="s">
        <v>194</v>
      </c>
      <c r="N26" s="22" t="s">
        <v>192</v>
      </c>
      <c r="O26" s="114">
        <v>2100000</v>
      </c>
      <c r="P26" s="22"/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s="6" customFormat="1" ht="23.5" customHeight="1" thickBot="1">
      <c r="A27" s="81">
        <v>26</v>
      </c>
      <c r="B27" s="81">
        <v>6</v>
      </c>
      <c r="C27" s="22" t="s">
        <v>155</v>
      </c>
      <c r="D27" s="82" t="s">
        <v>229</v>
      </c>
      <c r="E27" s="81" t="s">
        <v>331</v>
      </c>
      <c r="F27" s="23"/>
      <c r="G27" s="23"/>
      <c r="H27" s="25"/>
      <c r="I27" s="22"/>
      <c r="J27" s="26"/>
      <c r="K27" s="22"/>
      <c r="L27" s="25"/>
      <c r="M27" s="83" t="s">
        <v>194</v>
      </c>
      <c r="N27" s="22" t="s">
        <v>192</v>
      </c>
      <c r="O27" s="114">
        <v>2100000</v>
      </c>
      <c r="P27" s="22"/>
      <c r="Q27" s="4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s="6" customFormat="1" ht="23.5" customHeight="1" thickBot="1">
      <c r="A28" s="22">
        <v>27</v>
      </c>
      <c r="B28" s="81">
        <v>6</v>
      </c>
      <c r="C28" s="22" t="s">
        <v>154</v>
      </c>
      <c r="D28" s="82" t="s">
        <v>230</v>
      </c>
      <c r="E28" s="81" t="s">
        <v>331</v>
      </c>
      <c r="F28" s="23"/>
      <c r="G28" s="23"/>
      <c r="H28" s="25"/>
      <c r="I28" s="22"/>
      <c r="J28" s="26"/>
      <c r="K28" s="22"/>
      <c r="L28" s="25"/>
      <c r="M28" s="83" t="s">
        <v>197</v>
      </c>
      <c r="N28" s="22" t="s">
        <v>192</v>
      </c>
      <c r="O28" s="114">
        <v>900000</v>
      </c>
      <c r="P28" s="22"/>
      <c r="Q28" s="4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s="6" customFormat="1" ht="23.5" customHeight="1" thickBot="1">
      <c r="A29" s="81">
        <v>28</v>
      </c>
      <c r="B29" s="81">
        <v>6</v>
      </c>
      <c r="C29" s="22" t="s">
        <v>155</v>
      </c>
      <c r="D29" s="82" t="s">
        <v>231</v>
      </c>
      <c r="E29" s="81" t="s">
        <v>171</v>
      </c>
      <c r="F29" s="23"/>
      <c r="G29" s="23"/>
      <c r="H29" s="25"/>
      <c r="I29" s="22"/>
      <c r="J29" s="26"/>
      <c r="K29" s="22"/>
      <c r="L29" s="25"/>
      <c r="M29" s="83" t="s">
        <v>197</v>
      </c>
      <c r="N29" s="22" t="s">
        <v>192</v>
      </c>
      <c r="O29" s="114">
        <v>1000000</v>
      </c>
      <c r="P29" s="22"/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s="6" customFormat="1" ht="23.5" customHeight="1" thickBot="1">
      <c r="A30" s="81">
        <v>29</v>
      </c>
      <c r="B30" s="81">
        <v>6</v>
      </c>
      <c r="C30" s="22" t="s">
        <v>155</v>
      </c>
      <c r="D30" s="82" t="s">
        <v>232</v>
      </c>
      <c r="E30" s="81" t="s">
        <v>171</v>
      </c>
      <c r="F30" s="23"/>
      <c r="G30" s="23"/>
      <c r="H30" s="25"/>
      <c r="I30" s="22"/>
      <c r="J30" s="26"/>
      <c r="K30" s="22"/>
      <c r="L30" s="25"/>
      <c r="M30" s="83" t="s">
        <v>195</v>
      </c>
      <c r="N30" s="22" t="s">
        <v>192</v>
      </c>
      <c r="O30" s="114">
        <v>500000</v>
      </c>
      <c r="P30" s="22"/>
      <c r="Q30" s="4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s="6" customFormat="1" ht="23.5" customHeight="1" thickBot="1">
      <c r="A31" s="81">
        <v>30</v>
      </c>
      <c r="B31" s="81">
        <v>6</v>
      </c>
      <c r="C31" s="22" t="s">
        <v>155</v>
      </c>
      <c r="D31" s="82" t="s">
        <v>233</v>
      </c>
      <c r="E31" s="81" t="s">
        <v>333</v>
      </c>
      <c r="F31" s="23"/>
      <c r="G31" s="23"/>
      <c r="H31" s="25"/>
      <c r="I31" s="22"/>
      <c r="J31" s="26"/>
      <c r="K31" s="22"/>
      <c r="L31" s="25"/>
      <c r="M31" s="83" t="s">
        <v>197</v>
      </c>
      <c r="N31" s="22" t="s">
        <v>192</v>
      </c>
      <c r="O31" s="114">
        <v>1150000</v>
      </c>
      <c r="P31" s="22"/>
      <c r="Q31" s="4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s="6" customFormat="1" ht="23.5" customHeight="1" thickBot="1">
      <c r="A32" s="22">
        <v>31</v>
      </c>
      <c r="B32" s="81">
        <v>6</v>
      </c>
      <c r="C32" s="22" t="s">
        <v>155</v>
      </c>
      <c r="D32" s="82" t="s">
        <v>233</v>
      </c>
      <c r="E32" s="81" t="s">
        <v>333</v>
      </c>
      <c r="F32" s="23"/>
      <c r="G32" s="23"/>
      <c r="H32" s="25"/>
      <c r="I32" s="22"/>
      <c r="J32" s="26"/>
      <c r="K32" s="22"/>
      <c r="L32" s="25"/>
      <c r="M32" s="83" t="s">
        <v>197</v>
      </c>
      <c r="N32" s="22" t="s">
        <v>192</v>
      </c>
      <c r="O32" s="114">
        <v>1150000</v>
      </c>
      <c r="P32" s="22"/>
      <c r="Q32" s="4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s="6" customFormat="1" ht="23.5" customHeight="1" thickBot="1">
      <c r="A33" s="81">
        <v>32</v>
      </c>
      <c r="B33" s="81">
        <v>6</v>
      </c>
      <c r="C33" s="22" t="s">
        <v>181</v>
      </c>
      <c r="D33" s="82" t="s">
        <v>234</v>
      </c>
      <c r="E33" s="81" t="s">
        <v>210</v>
      </c>
      <c r="F33" s="23"/>
      <c r="G33" s="23"/>
      <c r="H33" s="25"/>
      <c r="I33" s="22"/>
      <c r="J33" s="26"/>
      <c r="K33" s="22"/>
      <c r="L33" s="25"/>
      <c r="M33" s="83" t="s">
        <v>194</v>
      </c>
      <c r="N33" s="22" t="s">
        <v>192</v>
      </c>
      <c r="O33" s="114">
        <v>4000000</v>
      </c>
      <c r="P33" s="22"/>
      <c r="Q33" s="4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s="6" customFormat="1" ht="23.5" customHeight="1" thickBot="1">
      <c r="A34" s="81">
        <v>33</v>
      </c>
      <c r="B34" s="81">
        <v>6</v>
      </c>
      <c r="C34" s="22" t="s">
        <v>181</v>
      </c>
      <c r="D34" s="82" t="s">
        <v>234</v>
      </c>
      <c r="E34" s="81" t="s">
        <v>210</v>
      </c>
      <c r="F34" s="23"/>
      <c r="G34" s="23"/>
      <c r="H34" s="25"/>
      <c r="I34" s="22"/>
      <c r="J34" s="26"/>
      <c r="K34" s="22"/>
      <c r="L34" s="25"/>
      <c r="M34" s="83" t="s">
        <v>194</v>
      </c>
      <c r="N34" s="22" t="s">
        <v>192</v>
      </c>
      <c r="O34" s="114">
        <v>2000000</v>
      </c>
      <c r="P34" s="22"/>
      <c r="Q34" s="4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s="6" customFormat="1" ht="23.5" customHeight="1" thickBot="1">
      <c r="A35" s="81">
        <v>34</v>
      </c>
      <c r="B35" s="81">
        <v>7</v>
      </c>
      <c r="C35" s="22" t="s">
        <v>181</v>
      </c>
      <c r="D35" s="82" t="s">
        <v>235</v>
      </c>
      <c r="E35" s="81" t="s">
        <v>210</v>
      </c>
      <c r="F35" s="23"/>
      <c r="G35" s="23"/>
      <c r="H35" s="25"/>
      <c r="I35" s="22"/>
      <c r="J35" s="26"/>
      <c r="K35" s="22"/>
      <c r="L35" s="25"/>
      <c r="M35" s="83" t="s">
        <v>195</v>
      </c>
      <c r="N35" s="22" t="s">
        <v>192</v>
      </c>
      <c r="O35" s="114">
        <v>3000000</v>
      </c>
      <c r="P35" s="22"/>
      <c r="Q35" s="4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s="6" customFormat="1" ht="23.5" customHeight="1" thickBot="1">
      <c r="A36" s="22">
        <v>35</v>
      </c>
      <c r="B36" s="81">
        <v>6</v>
      </c>
      <c r="C36" s="22" t="s">
        <v>181</v>
      </c>
      <c r="D36" s="82" t="s">
        <v>236</v>
      </c>
      <c r="E36" s="81" t="s">
        <v>113</v>
      </c>
      <c r="F36" s="23"/>
      <c r="G36" s="23"/>
      <c r="H36" s="25"/>
      <c r="I36" s="22"/>
      <c r="J36" s="26"/>
      <c r="K36" s="22"/>
      <c r="L36" s="25"/>
      <c r="M36" s="83" t="s">
        <v>195</v>
      </c>
      <c r="N36" s="22" t="s">
        <v>192</v>
      </c>
      <c r="O36" s="114">
        <v>2300000</v>
      </c>
      <c r="P36" s="22"/>
      <c r="Q36" s="4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s="6" customFormat="1" ht="23.5" customHeight="1" thickBot="1">
      <c r="A37" s="81">
        <v>36</v>
      </c>
      <c r="B37" s="81">
        <v>6</v>
      </c>
      <c r="C37" s="22" t="s">
        <v>155</v>
      </c>
      <c r="D37" s="82" t="s">
        <v>237</v>
      </c>
      <c r="E37" s="81" t="s">
        <v>113</v>
      </c>
      <c r="F37" s="23"/>
      <c r="G37" s="23"/>
      <c r="H37" s="25"/>
      <c r="I37" s="22"/>
      <c r="J37" s="26"/>
      <c r="K37" s="22"/>
      <c r="L37" s="25"/>
      <c r="M37" s="83" t="s">
        <v>195</v>
      </c>
      <c r="N37" s="22" t="s">
        <v>192</v>
      </c>
      <c r="O37" s="114">
        <v>80000</v>
      </c>
      <c r="P37" s="22"/>
      <c r="Q37" s="4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s="6" customFormat="1" ht="23.5" customHeight="1" thickBot="1">
      <c r="A38" s="81">
        <v>37</v>
      </c>
      <c r="B38" s="81">
        <v>6</v>
      </c>
      <c r="C38" s="22" t="s">
        <v>155</v>
      </c>
      <c r="D38" s="82" t="s">
        <v>238</v>
      </c>
      <c r="E38" s="81" t="s">
        <v>113</v>
      </c>
      <c r="F38" s="23"/>
      <c r="G38" s="23"/>
      <c r="H38" s="25"/>
      <c r="I38" s="22"/>
      <c r="J38" s="26"/>
      <c r="K38" s="22"/>
      <c r="L38" s="25"/>
      <c r="M38" s="83" t="s">
        <v>195</v>
      </c>
      <c r="N38" s="22" t="s">
        <v>192</v>
      </c>
      <c r="O38" s="114">
        <v>240000</v>
      </c>
      <c r="P38" s="22"/>
      <c r="Q38" s="4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s="6" customFormat="1" ht="23.5" customHeight="1" thickBot="1">
      <c r="A39" s="81">
        <v>38</v>
      </c>
      <c r="B39" s="81">
        <v>6</v>
      </c>
      <c r="C39" s="22" t="s">
        <v>155</v>
      </c>
      <c r="D39" s="82" t="s">
        <v>239</v>
      </c>
      <c r="E39" s="81" t="s">
        <v>113</v>
      </c>
      <c r="F39" s="23"/>
      <c r="G39" s="23"/>
      <c r="H39" s="25"/>
      <c r="I39" s="22"/>
      <c r="J39" s="26"/>
      <c r="K39" s="22"/>
      <c r="L39" s="25"/>
      <c r="M39" s="83" t="s">
        <v>195</v>
      </c>
      <c r="N39" s="22" t="s">
        <v>192</v>
      </c>
      <c r="O39" s="114">
        <v>35000</v>
      </c>
      <c r="P39" s="22"/>
      <c r="Q39" s="4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s="6" customFormat="1" ht="23.5" customHeight="1" thickBot="1">
      <c r="A40" s="22">
        <v>39</v>
      </c>
      <c r="B40" s="81">
        <v>6</v>
      </c>
      <c r="C40" s="22" t="s">
        <v>155</v>
      </c>
      <c r="D40" s="82" t="s">
        <v>240</v>
      </c>
      <c r="E40" s="81" t="s">
        <v>113</v>
      </c>
      <c r="F40" s="23"/>
      <c r="G40" s="23"/>
      <c r="H40" s="25"/>
      <c r="I40" s="22"/>
      <c r="J40" s="26"/>
      <c r="K40" s="22"/>
      <c r="L40" s="25"/>
      <c r="M40" s="83" t="s">
        <v>195</v>
      </c>
      <c r="N40" s="22" t="s">
        <v>192</v>
      </c>
      <c r="O40" s="114">
        <v>25000</v>
      </c>
      <c r="P40" s="22"/>
      <c r="Q40" s="4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s="6" customFormat="1" ht="23.5" customHeight="1" thickBot="1">
      <c r="A41" s="81">
        <v>40</v>
      </c>
      <c r="B41" s="81">
        <v>6</v>
      </c>
      <c r="C41" s="22" t="s">
        <v>155</v>
      </c>
      <c r="D41" s="82" t="s">
        <v>241</v>
      </c>
      <c r="E41" s="81" t="s">
        <v>113</v>
      </c>
      <c r="F41" s="23"/>
      <c r="G41" s="23"/>
      <c r="H41" s="25"/>
      <c r="I41" s="22"/>
      <c r="J41" s="26"/>
      <c r="K41" s="22"/>
      <c r="L41" s="25"/>
      <c r="M41" s="83" t="s">
        <v>195</v>
      </c>
      <c r="N41" s="22" t="s">
        <v>192</v>
      </c>
      <c r="O41" s="114">
        <v>45000</v>
      </c>
      <c r="P41" s="22"/>
      <c r="Q41" s="4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s="6" customFormat="1" ht="23.5" customHeight="1" thickBot="1">
      <c r="A42" s="81">
        <v>41</v>
      </c>
      <c r="B42" s="81">
        <v>6</v>
      </c>
      <c r="C42" s="22" t="s">
        <v>155</v>
      </c>
      <c r="D42" s="82" t="s">
        <v>242</v>
      </c>
      <c r="E42" s="81" t="s">
        <v>113</v>
      </c>
      <c r="F42" s="23"/>
      <c r="G42" s="23"/>
      <c r="H42" s="25"/>
      <c r="I42" s="22"/>
      <c r="J42" s="26"/>
      <c r="K42" s="22"/>
      <c r="L42" s="25"/>
      <c r="M42" s="83" t="s">
        <v>195</v>
      </c>
      <c r="N42" s="22" t="s">
        <v>192</v>
      </c>
      <c r="O42" s="114">
        <v>25000</v>
      </c>
      <c r="P42" s="22"/>
      <c r="Q42" s="4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s="6" customFormat="1" ht="23.5" customHeight="1" thickBot="1">
      <c r="A43" s="81">
        <v>42</v>
      </c>
      <c r="B43" s="81">
        <v>6</v>
      </c>
      <c r="C43" s="22" t="s">
        <v>155</v>
      </c>
      <c r="D43" s="82" t="s">
        <v>243</v>
      </c>
      <c r="E43" s="81" t="s">
        <v>113</v>
      </c>
      <c r="F43" s="23"/>
      <c r="G43" s="23"/>
      <c r="H43" s="25"/>
      <c r="I43" s="22"/>
      <c r="J43" s="26"/>
      <c r="K43" s="22"/>
      <c r="L43" s="25"/>
      <c r="M43" s="83" t="s">
        <v>195</v>
      </c>
      <c r="N43" s="22" t="s">
        <v>192</v>
      </c>
      <c r="O43" s="114">
        <v>45000</v>
      </c>
      <c r="P43" s="22"/>
      <c r="Q43" s="4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s="6" customFormat="1" ht="23.5" customHeight="1" thickBot="1">
      <c r="A44" s="22">
        <v>43</v>
      </c>
      <c r="B44" s="81">
        <v>6</v>
      </c>
      <c r="C44" s="22" t="s">
        <v>155</v>
      </c>
      <c r="D44" s="82" t="s">
        <v>244</v>
      </c>
      <c r="E44" s="81" t="s">
        <v>113</v>
      </c>
      <c r="F44" s="23"/>
      <c r="G44" s="23"/>
      <c r="H44" s="25"/>
      <c r="I44" s="22"/>
      <c r="J44" s="26"/>
      <c r="K44" s="22"/>
      <c r="L44" s="25"/>
      <c r="M44" s="83" t="s">
        <v>195</v>
      </c>
      <c r="N44" s="22" t="s">
        <v>192</v>
      </c>
      <c r="O44" s="114">
        <v>85000</v>
      </c>
      <c r="P44" s="22"/>
      <c r="Q44" s="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s="6" customFormat="1" ht="23.5" customHeight="1" thickBot="1">
      <c r="A45" s="81">
        <v>44</v>
      </c>
      <c r="B45" s="81">
        <v>6</v>
      </c>
      <c r="C45" s="22" t="s">
        <v>155</v>
      </c>
      <c r="D45" s="82" t="s">
        <v>245</v>
      </c>
      <c r="E45" s="81" t="s">
        <v>113</v>
      </c>
      <c r="F45" s="23"/>
      <c r="G45" s="23"/>
      <c r="H45" s="25"/>
      <c r="I45" s="22"/>
      <c r="J45" s="26"/>
      <c r="K45" s="22"/>
      <c r="L45" s="25"/>
      <c r="M45" s="83" t="s">
        <v>195</v>
      </c>
      <c r="N45" s="22" t="s">
        <v>192</v>
      </c>
      <c r="O45" s="114">
        <v>39000</v>
      </c>
      <c r="P45" s="22"/>
      <c r="Q45" s="4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s="6" customFormat="1" ht="23.5" customHeight="1" thickBot="1">
      <c r="A46" s="81">
        <v>45</v>
      </c>
      <c r="B46" s="81">
        <v>6</v>
      </c>
      <c r="C46" s="22" t="s">
        <v>155</v>
      </c>
      <c r="D46" s="84" t="s">
        <v>246</v>
      </c>
      <c r="E46" s="81" t="s">
        <v>113</v>
      </c>
      <c r="F46" s="23"/>
      <c r="G46" s="23"/>
      <c r="H46" s="25"/>
      <c r="I46" s="22"/>
      <c r="J46" s="26"/>
      <c r="K46" s="22"/>
      <c r="L46" s="25"/>
      <c r="M46" s="83" t="s">
        <v>195</v>
      </c>
      <c r="N46" s="22" t="s">
        <v>192</v>
      </c>
      <c r="O46" s="114">
        <v>20000</v>
      </c>
      <c r="P46" s="22"/>
      <c r="Q46" s="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s="6" customFormat="1" ht="23.5" customHeight="1" thickBot="1">
      <c r="A47" s="81">
        <v>46</v>
      </c>
      <c r="B47" s="81">
        <v>6</v>
      </c>
      <c r="C47" s="22" t="s">
        <v>155</v>
      </c>
      <c r="D47" s="82" t="s">
        <v>247</v>
      </c>
      <c r="E47" s="81" t="s">
        <v>113</v>
      </c>
      <c r="F47" s="23"/>
      <c r="G47" s="23"/>
      <c r="H47" s="25"/>
      <c r="I47" s="22"/>
      <c r="J47" s="26"/>
      <c r="K47" s="22"/>
      <c r="L47" s="25"/>
      <c r="M47" s="83" t="s">
        <v>195</v>
      </c>
      <c r="N47" s="22" t="s">
        <v>192</v>
      </c>
      <c r="O47" s="114">
        <v>170000</v>
      </c>
      <c r="P47" s="22"/>
      <c r="Q47" s="4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s="6" customFormat="1" ht="23.5" customHeight="1" thickBot="1">
      <c r="A48" s="22">
        <v>47</v>
      </c>
      <c r="B48" s="81">
        <v>6</v>
      </c>
      <c r="C48" s="22" t="s">
        <v>155</v>
      </c>
      <c r="D48" s="82" t="s">
        <v>248</v>
      </c>
      <c r="E48" s="81" t="s">
        <v>113</v>
      </c>
      <c r="F48" s="23"/>
      <c r="G48" s="23"/>
      <c r="H48" s="25"/>
      <c r="I48" s="22"/>
      <c r="J48" s="26"/>
      <c r="K48" s="22"/>
      <c r="L48" s="25"/>
      <c r="M48" s="83" t="s">
        <v>195</v>
      </c>
      <c r="N48" s="22" t="s">
        <v>192</v>
      </c>
      <c r="O48" s="114">
        <v>28000</v>
      </c>
      <c r="P48" s="22"/>
      <c r="Q48" s="4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s="6" customFormat="1" ht="23.5" customHeight="1" thickBot="1">
      <c r="A49" s="81">
        <v>48</v>
      </c>
      <c r="B49" s="81">
        <v>6</v>
      </c>
      <c r="C49" s="22" t="s">
        <v>155</v>
      </c>
      <c r="D49" s="82" t="s">
        <v>249</v>
      </c>
      <c r="E49" s="81" t="s">
        <v>113</v>
      </c>
      <c r="F49" s="23"/>
      <c r="G49" s="23"/>
      <c r="H49" s="25"/>
      <c r="I49" s="22"/>
      <c r="J49" s="26"/>
      <c r="K49" s="22"/>
      <c r="L49" s="25"/>
      <c r="M49" s="83" t="s">
        <v>195</v>
      </c>
      <c r="N49" s="22" t="s">
        <v>192</v>
      </c>
      <c r="O49" s="114">
        <v>35000</v>
      </c>
      <c r="P49" s="22"/>
      <c r="Q49" s="4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s="6" customFormat="1" ht="23.5" customHeight="1" thickBot="1">
      <c r="A50" s="81">
        <v>49</v>
      </c>
      <c r="B50" s="81">
        <v>6</v>
      </c>
      <c r="C50" s="22" t="s">
        <v>155</v>
      </c>
      <c r="D50" s="82" t="s">
        <v>250</v>
      </c>
      <c r="E50" s="81" t="s">
        <v>113</v>
      </c>
      <c r="F50" s="23"/>
      <c r="G50" s="23"/>
      <c r="H50" s="25"/>
      <c r="I50" s="22"/>
      <c r="J50" s="26"/>
      <c r="K50" s="22"/>
      <c r="L50" s="25"/>
      <c r="M50" s="83" t="s">
        <v>195</v>
      </c>
      <c r="N50" s="22" t="s">
        <v>192</v>
      </c>
      <c r="O50" s="114">
        <v>120000</v>
      </c>
      <c r="P50" s="22"/>
      <c r="Q50" s="4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s="6" customFormat="1" ht="23.5" customHeight="1" thickBot="1">
      <c r="A51" s="81">
        <v>50</v>
      </c>
      <c r="B51" s="81">
        <v>7</v>
      </c>
      <c r="C51" s="22" t="s">
        <v>155</v>
      </c>
      <c r="D51" s="82" t="s">
        <v>251</v>
      </c>
      <c r="E51" s="81" t="s">
        <v>331</v>
      </c>
      <c r="F51" s="23"/>
      <c r="G51" s="23"/>
      <c r="H51" s="25"/>
      <c r="I51" s="22"/>
      <c r="J51" s="26"/>
      <c r="K51" s="22"/>
      <c r="L51" s="25"/>
      <c r="M51" s="83" t="s">
        <v>194</v>
      </c>
      <c r="N51" s="22" t="s">
        <v>192</v>
      </c>
      <c r="O51" s="114">
        <v>18800000</v>
      </c>
      <c r="P51" s="22"/>
      <c r="Q51" s="4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s="6" customFormat="1" ht="23.5" customHeight="1" thickBot="1">
      <c r="A52" s="22">
        <v>51</v>
      </c>
      <c r="B52" s="81">
        <v>7</v>
      </c>
      <c r="C52" s="22" t="s">
        <v>155</v>
      </c>
      <c r="D52" s="82" t="s">
        <v>252</v>
      </c>
      <c r="E52" s="81" t="s">
        <v>331</v>
      </c>
      <c r="F52" s="23"/>
      <c r="G52" s="23"/>
      <c r="H52" s="25"/>
      <c r="I52" s="22"/>
      <c r="J52" s="26"/>
      <c r="K52" s="22"/>
      <c r="L52" s="25"/>
      <c r="M52" s="83" t="s">
        <v>195</v>
      </c>
      <c r="N52" s="22" t="s">
        <v>192</v>
      </c>
      <c r="O52" s="114">
        <v>4200000</v>
      </c>
      <c r="P52" s="22"/>
      <c r="Q52" s="4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s="6" customFormat="1" ht="23.5" customHeight="1" thickBot="1">
      <c r="A53" s="81">
        <v>52</v>
      </c>
      <c r="B53" s="81">
        <v>7</v>
      </c>
      <c r="C53" s="22" t="s">
        <v>155</v>
      </c>
      <c r="D53" s="82" t="s">
        <v>253</v>
      </c>
      <c r="E53" s="81" t="s">
        <v>335</v>
      </c>
      <c r="F53" s="23"/>
      <c r="G53" s="23"/>
      <c r="H53" s="25"/>
      <c r="I53" s="22"/>
      <c r="J53" s="26"/>
      <c r="K53" s="22"/>
      <c r="L53" s="25"/>
      <c r="M53" s="83" t="s">
        <v>195</v>
      </c>
      <c r="N53" s="22" t="s">
        <v>192</v>
      </c>
      <c r="O53" s="114">
        <v>343000</v>
      </c>
      <c r="P53" s="22"/>
      <c r="Q53" s="4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s="6" customFormat="1" ht="23.5" customHeight="1" thickBot="1">
      <c r="A54" s="81">
        <v>53</v>
      </c>
      <c r="B54" s="81">
        <v>6</v>
      </c>
      <c r="C54" s="22" t="s">
        <v>154</v>
      </c>
      <c r="D54" s="82" t="s">
        <v>254</v>
      </c>
      <c r="E54" s="81" t="s">
        <v>113</v>
      </c>
      <c r="F54" s="23"/>
      <c r="G54" s="23"/>
      <c r="H54" s="25"/>
      <c r="I54" s="22"/>
      <c r="J54" s="26"/>
      <c r="K54" s="22"/>
      <c r="L54" s="25"/>
      <c r="M54" s="83" t="s">
        <v>197</v>
      </c>
      <c r="N54" s="22" t="s">
        <v>192</v>
      </c>
      <c r="O54" s="114">
        <v>150000</v>
      </c>
      <c r="P54" s="22"/>
      <c r="Q54" s="4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s="6" customFormat="1" ht="23.5" customHeight="1" thickBot="1">
      <c r="A55" s="81">
        <v>54</v>
      </c>
      <c r="B55" s="81">
        <v>6</v>
      </c>
      <c r="C55" s="22" t="s">
        <v>154</v>
      </c>
      <c r="D55" s="82" t="s">
        <v>255</v>
      </c>
      <c r="E55" s="81" t="s">
        <v>113</v>
      </c>
      <c r="F55" s="23"/>
      <c r="G55" s="23"/>
      <c r="H55" s="25"/>
      <c r="I55" s="22"/>
      <c r="J55" s="26"/>
      <c r="K55" s="22"/>
      <c r="L55" s="25"/>
      <c r="M55" s="83" t="s">
        <v>197</v>
      </c>
      <c r="N55" s="22" t="s">
        <v>192</v>
      </c>
      <c r="O55" s="114">
        <v>110000</v>
      </c>
      <c r="P55" s="22"/>
      <c r="Q55" s="4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s="6" customFormat="1" ht="23.5" customHeight="1" thickBot="1">
      <c r="A56" s="22">
        <v>55</v>
      </c>
      <c r="B56" s="81">
        <v>6</v>
      </c>
      <c r="C56" s="22" t="s">
        <v>154</v>
      </c>
      <c r="D56" s="82" t="s">
        <v>256</v>
      </c>
      <c r="E56" s="81" t="s">
        <v>335</v>
      </c>
      <c r="F56" s="23"/>
      <c r="G56" s="23"/>
      <c r="H56" s="25"/>
      <c r="I56" s="22"/>
      <c r="J56" s="26"/>
      <c r="K56" s="22"/>
      <c r="L56" s="25"/>
      <c r="M56" s="83" t="s">
        <v>197</v>
      </c>
      <c r="N56" s="22" t="s">
        <v>192</v>
      </c>
      <c r="O56" s="114">
        <v>122000</v>
      </c>
      <c r="P56" s="22"/>
      <c r="Q56" s="4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s="6" customFormat="1" ht="23.5" customHeight="1" thickBot="1">
      <c r="A57" s="81">
        <v>56</v>
      </c>
      <c r="B57" s="81">
        <v>6</v>
      </c>
      <c r="C57" s="22" t="s">
        <v>154</v>
      </c>
      <c r="D57" s="82" t="s">
        <v>257</v>
      </c>
      <c r="E57" s="81" t="s">
        <v>335</v>
      </c>
      <c r="F57" s="23"/>
      <c r="G57" s="23"/>
      <c r="H57" s="25"/>
      <c r="I57" s="22"/>
      <c r="J57" s="26"/>
      <c r="K57" s="22"/>
      <c r="L57" s="25"/>
      <c r="M57" s="83" t="s">
        <v>197</v>
      </c>
      <c r="N57" s="22" t="s">
        <v>192</v>
      </c>
      <c r="O57" s="114">
        <v>294000</v>
      </c>
      <c r="P57" s="22"/>
      <c r="Q57" s="4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s="6" customFormat="1" ht="23.5" customHeight="1" thickBot="1">
      <c r="A58" s="81">
        <v>57</v>
      </c>
      <c r="B58" s="81">
        <v>6</v>
      </c>
      <c r="C58" s="22" t="s">
        <v>154</v>
      </c>
      <c r="D58" s="82" t="s">
        <v>258</v>
      </c>
      <c r="E58" s="81" t="s">
        <v>335</v>
      </c>
      <c r="F58" s="23"/>
      <c r="G58" s="23"/>
      <c r="H58" s="25"/>
      <c r="I58" s="22"/>
      <c r="J58" s="26"/>
      <c r="K58" s="22"/>
      <c r="L58" s="25"/>
      <c r="M58" s="83" t="s">
        <v>197</v>
      </c>
      <c r="N58" s="22" t="s">
        <v>192</v>
      </c>
      <c r="O58" s="114">
        <v>301000</v>
      </c>
      <c r="P58" s="22"/>
      <c r="Q58" s="4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s="6" customFormat="1" ht="23.5" customHeight="1" thickBot="1">
      <c r="A59" s="81">
        <v>58</v>
      </c>
      <c r="B59" s="81">
        <v>6</v>
      </c>
      <c r="C59" s="22" t="s">
        <v>154</v>
      </c>
      <c r="D59" s="82" t="s">
        <v>259</v>
      </c>
      <c r="E59" s="81" t="s">
        <v>113</v>
      </c>
      <c r="F59" s="23"/>
      <c r="G59" s="23"/>
      <c r="H59" s="25"/>
      <c r="I59" s="22"/>
      <c r="J59" s="26"/>
      <c r="K59" s="22"/>
      <c r="L59" s="25"/>
      <c r="M59" s="83" t="s">
        <v>195</v>
      </c>
      <c r="N59" s="22" t="s">
        <v>192</v>
      </c>
      <c r="O59" s="114">
        <v>438000</v>
      </c>
      <c r="P59" s="22"/>
      <c r="Q59" s="4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s="6" customFormat="1" ht="23.5" customHeight="1" thickBot="1">
      <c r="A60" s="22">
        <v>59</v>
      </c>
      <c r="B60" s="81">
        <v>6</v>
      </c>
      <c r="C60" s="22" t="s">
        <v>154</v>
      </c>
      <c r="D60" s="82" t="s">
        <v>260</v>
      </c>
      <c r="E60" s="81" t="s">
        <v>113</v>
      </c>
      <c r="F60" s="23"/>
      <c r="G60" s="23"/>
      <c r="H60" s="25"/>
      <c r="I60" s="22"/>
      <c r="J60" s="26"/>
      <c r="K60" s="22"/>
      <c r="L60" s="25"/>
      <c r="M60" s="83" t="s">
        <v>197</v>
      </c>
      <c r="N60" s="22" t="s">
        <v>192</v>
      </c>
      <c r="O60" s="114">
        <v>620000</v>
      </c>
      <c r="P60" s="22"/>
      <c r="Q60" s="4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</row>
    <row r="61" spans="1:36" s="6" customFormat="1" ht="23.5" customHeight="1" thickBot="1">
      <c r="A61" s="81">
        <v>60</v>
      </c>
      <c r="B61" s="81">
        <v>6</v>
      </c>
      <c r="C61" s="22" t="s">
        <v>154</v>
      </c>
      <c r="D61" s="82" t="s">
        <v>261</v>
      </c>
      <c r="E61" s="81" t="s">
        <v>210</v>
      </c>
      <c r="F61" s="23"/>
      <c r="G61" s="23"/>
      <c r="H61" s="25"/>
      <c r="I61" s="22"/>
      <c r="J61" s="26"/>
      <c r="K61" s="22"/>
      <c r="L61" s="25"/>
      <c r="M61" s="83" t="s">
        <v>197</v>
      </c>
      <c r="N61" s="22" t="s">
        <v>192</v>
      </c>
      <c r="O61" s="114">
        <v>380000</v>
      </c>
      <c r="P61" s="22"/>
      <c r="Q61" s="4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s="6" customFormat="1" ht="23.5" customHeight="1" thickBot="1">
      <c r="A62" s="81">
        <v>61</v>
      </c>
      <c r="B62" s="81">
        <v>6</v>
      </c>
      <c r="C62" s="22" t="s">
        <v>154</v>
      </c>
      <c r="D62" s="82" t="s">
        <v>262</v>
      </c>
      <c r="E62" s="81" t="s">
        <v>335</v>
      </c>
      <c r="F62" s="23"/>
      <c r="G62" s="23"/>
      <c r="H62" s="25"/>
      <c r="I62" s="22"/>
      <c r="J62" s="26"/>
      <c r="K62" s="22"/>
      <c r="L62" s="25"/>
      <c r="M62" s="83" t="s">
        <v>197</v>
      </c>
      <c r="N62" s="22" t="s">
        <v>192</v>
      </c>
      <c r="O62" s="114">
        <v>136000</v>
      </c>
      <c r="P62" s="22"/>
      <c r="Q62" s="4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s="6" customFormat="1" ht="23.5" customHeight="1" thickBot="1">
      <c r="A63" s="81">
        <v>62</v>
      </c>
      <c r="B63" s="81">
        <v>7</v>
      </c>
      <c r="C63" s="22" t="s">
        <v>154</v>
      </c>
      <c r="D63" s="82" t="s">
        <v>263</v>
      </c>
      <c r="E63" s="81" t="s">
        <v>335</v>
      </c>
      <c r="F63" s="23"/>
      <c r="G63" s="23"/>
      <c r="H63" s="25"/>
      <c r="I63" s="22"/>
      <c r="J63" s="26"/>
      <c r="K63" s="22"/>
      <c r="L63" s="25"/>
      <c r="M63" s="83" t="s">
        <v>197</v>
      </c>
      <c r="N63" s="22" t="s">
        <v>192</v>
      </c>
      <c r="O63" s="114">
        <v>153000</v>
      </c>
      <c r="P63" s="22"/>
      <c r="Q63" s="4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s="6" customFormat="1" ht="23.5" customHeight="1" thickBot="1">
      <c r="A64" s="22">
        <v>63</v>
      </c>
      <c r="B64" s="81">
        <v>7</v>
      </c>
      <c r="C64" s="22" t="s">
        <v>154</v>
      </c>
      <c r="D64" s="82" t="s">
        <v>264</v>
      </c>
      <c r="E64" s="81" t="s">
        <v>331</v>
      </c>
      <c r="F64" s="23"/>
      <c r="G64" s="23"/>
      <c r="H64" s="25"/>
      <c r="I64" s="22"/>
      <c r="J64" s="26"/>
      <c r="K64" s="22"/>
      <c r="L64" s="25"/>
      <c r="M64" s="83" t="s">
        <v>197</v>
      </c>
      <c r="N64" s="22" t="s">
        <v>192</v>
      </c>
      <c r="O64" s="114">
        <v>95000</v>
      </c>
      <c r="P64" s="22"/>
      <c r="Q64" s="4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s="6" customFormat="1" ht="23.5" customHeight="1" thickBot="1">
      <c r="A65" s="81">
        <v>64</v>
      </c>
      <c r="B65" s="81">
        <v>7</v>
      </c>
      <c r="C65" s="22" t="s">
        <v>154</v>
      </c>
      <c r="D65" s="82" t="s">
        <v>265</v>
      </c>
      <c r="E65" s="81" t="s">
        <v>331</v>
      </c>
      <c r="F65" s="23"/>
      <c r="G65" s="23"/>
      <c r="H65" s="25"/>
      <c r="I65" s="22"/>
      <c r="J65" s="26"/>
      <c r="K65" s="22"/>
      <c r="L65" s="25"/>
      <c r="M65" s="83" t="s">
        <v>337</v>
      </c>
      <c r="N65" s="22" t="s">
        <v>192</v>
      </c>
      <c r="O65" s="114">
        <v>575000</v>
      </c>
      <c r="P65" s="22"/>
      <c r="Q65" s="4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s="6" customFormat="1" ht="23.5" customHeight="1" thickBot="1">
      <c r="A66" s="81">
        <v>65</v>
      </c>
      <c r="B66" s="81">
        <v>7</v>
      </c>
      <c r="C66" s="22" t="s">
        <v>154</v>
      </c>
      <c r="D66" s="82" t="s">
        <v>266</v>
      </c>
      <c r="E66" s="81" t="s">
        <v>112</v>
      </c>
      <c r="F66" s="23"/>
      <c r="G66" s="23"/>
      <c r="H66" s="25"/>
      <c r="I66" s="22"/>
      <c r="J66" s="26"/>
      <c r="K66" s="22"/>
      <c r="L66" s="25"/>
      <c r="M66" s="83" t="s">
        <v>197</v>
      </c>
      <c r="N66" s="22" t="s">
        <v>192</v>
      </c>
      <c r="O66" s="114">
        <v>2135000</v>
      </c>
      <c r="P66" s="22"/>
      <c r="Q66" s="4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s="6" customFormat="1" ht="23.5" customHeight="1" thickBot="1">
      <c r="A67" s="81">
        <v>66</v>
      </c>
      <c r="B67" s="81">
        <v>7</v>
      </c>
      <c r="C67" s="22" t="s">
        <v>154</v>
      </c>
      <c r="D67" s="82" t="s">
        <v>267</v>
      </c>
      <c r="E67" s="81" t="s">
        <v>335</v>
      </c>
      <c r="F67" s="23"/>
      <c r="G67" s="23"/>
      <c r="H67" s="25"/>
      <c r="I67" s="22"/>
      <c r="J67" s="26"/>
      <c r="K67" s="22"/>
      <c r="L67" s="25"/>
      <c r="M67" s="83" t="s">
        <v>197</v>
      </c>
      <c r="N67" s="22" t="s">
        <v>192</v>
      </c>
      <c r="O67" s="114">
        <v>326000</v>
      </c>
      <c r="P67" s="22"/>
      <c r="Q67" s="4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s="6" customFormat="1" ht="23.5" customHeight="1" thickBot="1">
      <c r="A68" s="22">
        <v>67</v>
      </c>
      <c r="B68" s="81">
        <v>7</v>
      </c>
      <c r="C68" s="22" t="s">
        <v>154</v>
      </c>
      <c r="D68" s="82" t="s">
        <v>268</v>
      </c>
      <c r="E68" s="81" t="s">
        <v>112</v>
      </c>
      <c r="F68" s="23"/>
      <c r="G68" s="23"/>
      <c r="H68" s="25"/>
      <c r="I68" s="22"/>
      <c r="J68" s="26"/>
      <c r="K68" s="22"/>
      <c r="L68" s="25"/>
      <c r="M68" s="83" t="s">
        <v>197</v>
      </c>
      <c r="N68" s="22" t="s">
        <v>192</v>
      </c>
      <c r="O68" s="114">
        <v>593000</v>
      </c>
      <c r="P68" s="22"/>
      <c r="Q68" s="4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s="6" customFormat="1" ht="23.5" customHeight="1" thickBot="1">
      <c r="A69" s="81">
        <v>68</v>
      </c>
      <c r="B69" s="81">
        <v>7</v>
      </c>
      <c r="C69" s="22" t="s">
        <v>154</v>
      </c>
      <c r="D69" s="82" t="s">
        <v>269</v>
      </c>
      <c r="E69" s="81" t="s">
        <v>335</v>
      </c>
      <c r="F69" s="23"/>
      <c r="G69" s="23"/>
      <c r="H69" s="25"/>
      <c r="I69" s="22"/>
      <c r="J69" s="26"/>
      <c r="K69" s="22"/>
      <c r="L69" s="25"/>
      <c r="M69" s="83" t="s">
        <v>197</v>
      </c>
      <c r="N69" s="22" t="s">
        <v>192</v>
      </c>
      <c r="O69" s="114">
        <v>375000</v>
      </c>
      <c r="P69" s="22"/>
      <c r="Q69" s="4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s="6" customFormat="1" ht="23.5" customHeight="1" thickBot="1">
      <c r="A70" s="81">
        <v>69</v>
      </c>
      <c r="B70" s="81">
        <v>7</v>
      </c>
      <c r="C70" s="22" t="s">
        <v>154</v>
      </c>
      <c r="D70" s="82" t="s">
        <v>270</v>
      </c>
      <c r="E70" s="81" t="s">
        <v>112</v>
      </c>
      <c r="F70" s="23"/>
      <c r="G70" s="23"/>
      <c r="H70" s="25"/>
      <c r="I70" s="22"/>
      <c r="J70" s="26"/>
      <c r="K70" s="22"/>
      <c r="L70" s="25"/>
      <c r="M70" s="83" t="s">
        <v>197</v>
      </c>
      <c r="N70" s="22" t="s">
        <v>192</v>
      </c>
      <c r="O70" s="114">
        <v>1000000</v>
      </c>
      <c r="P70" s="22"/>
      <c r="Q70" s="4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s="6" customFormat="1" ht="23.5" customHeight="1" thickBot="1">
      <c r="A71" s="81">
        <v>70</v>
      </c>
      <c r="B71" s="81">
        <v>7</v>
      </c>
      <c r="C71" s="22" t="s">
        <v>154</v>
      </c>
      <c r="D71" s="82" t="s">
        <v>271</v>
      </c>
      <c r="E71" s="81" t="s">
        <v>335</v>
      </c>
      <c r="F71" s="23"/>
      <c r="G71" s="23"/>
      <c r="H71" s="25"/>
      <c r="I71" s="22"/>
      <c r="J71" s="26"/>
      <c r="K71" s="22"/>
      <c r="L71" s="25"/>
      <c r="M71" s="83" t="s">
        <v>197</v>
      </c>
      <c r="N71" s="22" t="s">
        <v>192</v>
      </c>
      <c r="O71" s="114">
        <v>68000</v>
      </c>
      <c r="P71" s="22"/>
      <c r="Q71" s="4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s="6" customFormat="1" ht="23.5" customHeight="1" thickBot="1">
      <c r="A72" s="22">
        <v>71</v>
      </c>
      <c r="B72" s="81">
        <v>7</v>
      </c>
      <c r="C72" s="22" t="s">
        <v>154</v>
      </c>
      <c r="D72" s="82" t="s">
        <v>272</v>
      </c>
      <c r="E72" s="81" t="s">
        <v>331</v>
      </c>
      <c r="F72" s="23"/>
      <c r="G72" s="23"/>
      <c r="H72" s="25"/>
      <c r="I72" s="22"/>
      <c r="J72" s="26"/>
      <c r="K72" s="22"/>
      <c r="L72" s="25"/>
      <c r="M72" s="83" t="s">
        <v>195</v>
      </c>
      <c r="N72" s="22" t="s">
        <v>192</v>
      </c>
      <c r="O72" s="114">
        <v>600000</v>
      </c>
      <c r="P72" s="22"/>
      <c r="Q72" s="4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s="6" customFormat="1" ht="23.5" customHeight="1" thickBot="1">
      <c r="A73" s="81">
        <v>72</v>
      </c>
      <c r="B73" s="81">
        <v>7</v>
      </c>
      <c r="C73" s="22" t="s">
        <v>154</v>
      </c>
      <c r="D73" s="82" t="s">
        <v>273</v>
      </c>
      <c r="E73" s="81" t="s">
        <v>112</v>
      </c>
      <c r="F73" s="23"/>
      <c r="G73" s="23"/>
      <c r="H73" s="25"/>
      <c r="I73" s="22"/>
      <c r="J73" s="26"/>
      <c r="K73" s="22"/>
      <c r="L73" s="25"/>
      <c r="M73" s="83" t="s">
        <v>197</v>
      </c>
      <c r="N73" s="22" t="s">
        <v>192</v>
      </c>
      <c r="O73" s="114">
        <v>550000</v>
      </c>
      <c r="P73" s="22"/>
      <c r="Q73" s="4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s="6" customFormat="1" ht="23.5" customHeight="1" thickBot="1">
      <c r="A74" s="81">
        <v>73</v>
      </c>
      <c r="B74" s="81">
        <v>7</v>
      </c>
      <c r="C74" s="22" t="s">
        <v>154</v>
      </c>
      <c r="D74" s="82" t="s">
        <v>274</v>
      </c>
      <c r="E74" s="81" t="s">
        <v>112</v>
      </c>
      <c r="F74" s="23"/>
      <c r="G74" s="23"/>
      <c r="H74" s="25"/>
      <c r="I74" s="22"/>
      <c r="J74" s="26"/>
      <c r="K74" s="22"/>
      <c r="L74" s="25"/>
      <c r="M74" s="83" t="s">
        <v>197</v>
      </c>
      <c r="N74" s="22" t="s">
        <v>192</v>
      </c>
      <c r="O74" s="114">
        <v>545000</v>
      </c>
      <c r="P74" s="22"/>
      <c r="Q74" s="4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36" s="6" customFormat="1" ht="23.5" customHeight="1" thickBot="1">
      <c r="A75" s="81">
        <v>74</v>
      </c>
      <c r="B75" s="81">
        <v>7</v>
      </c>
      <c r="C75" s="22" t="s">
        <v>154</v>
      </c>
      <c r="D75" s="82" t="s">
        <v>275</v>
      </c>
      <c r="E75" s="81" t="s">
        <v>112</v>
      </c>
      <c r="F75" s="23"/>
      <c r="G75" s="23"/>
      <c r="H75" s="25"/>
      <c r="I75" s="22"/>
      <c r="J75" s="26"/>
      <c r="K75" s="22"/>
      <c r="L75" s="25"/>
      <c r="M75" s="83" t="s">
        <v>197</v>
      </c>
      <c r="N75" s="22" t="s">
        <v>192</v>
      </c>
      <c r="O75" s="114">
        <v>50000</v>
      </c>
      <c r="P75" s="22"/>
      <c r="Q75" s="4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s="6" customFormat="1" ht="23.5" customHeight="1" thickBot="1">
      <c r="A76" s="22">
        <v>75</v>
      </c>
      <c r="B76" s="81">
        <v>7</v>
      </c>
      <c r="C76" s="22" t="s">
        <v>154</v>
      </c>
      <c r="D76" s="82" t="s">
        <v>276</v>
      </c>
      <c r="E76" s="81" t="s">
        <v>112</v>
      </c>
      <c r="F76" s="23"/>
      <c r="G76" s="23"/>
      <c r="H76" s="25"/>
      <c r="I76" s="22"/>
      <c r="J76" s="26"/>
      <c r="K76" s="22"/>
      <c r="L76" s="25"/>
      <c r="M76" s="83" t="s">
        <v>197</v>
      </c>
      <c r="N76" s="22" t="s">
        <v>192</v>
      </c>
      <c r="O76" s="114">
        <v>100000</v>
      </c>
      <c r="P76" s="22"/>
      <c r="Q76" s="4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s="6" customFormat="1" ht="23.5" customHeight="1" thickBot="1">
      <c r="A77" s="81">
        <v>76</v>
      </c>
      <c r="B77" s="81">
        <v>7</v>
      </c>
      <c r="C77" s="22" t="s">
        <v>155</v>
      </c>
      <c r="D77" s="82" t="s">
        <v>277</v>
      </c>
      <c r="E77" s="81" t="s">
        <v>331</v>
      </c>
      <c r="F77" s="23"/>
      <c r="G77" s="23"/>
      <c r="H77" s="25"/>
      <c r="I77" s="22"/>
      <c r="J77" s="26"/>
      <c r="K77" s="22"/>
      <c r="L77" s="25"/>
      <c r="M77" s="83" t="s">
        <v>194</v>
      </c>
      <c r="N77" s="22" t="s">
        <v>192</v>
      </c>
      <c r="O77" s="114">
        <v>1415000</v>
      </c>
      <c r="P77" s="22"/>
      <c r="Q77" s="4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s="6" customFormat="1" ht="23.5" customHeight="1" thickBot="1">
      <c r="A78" s="81">
        <v>77</v>
      </c>
      <c r="B78" s="81">
        <v>7</v>
      </c>
      <c r="C78" s="22" t="s">
        <v>155</v>
      </c>
      <c r="D78" s="82" t="s">
        <v>278</v>
      </c>
      <c r="E78" s="81" t="s">
        <v>331</v>
      </c>
      <c r="F78" s="23"/>
      <c r="G78" s="23"/>
      <c r="H78" s="25"/>
      <c r="I78" s="22"/>
      <c r="J78" s="26"/>
      <c r="K78" s="22"/>
      <c r="L78" s="25"/>
      <c r="M78" s="83" t="s">
        <v>194</v>
      </c>
      <c r="N78" s="22" t="s">
        <v>192</v>
      </c>
      <c r="O78" s="114">
        <v>3100000</v>
      </c>
      <c r="P78" s="22"/>
      <c r="Q78" s="4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s="6" customFormat="1" ht="23.5" customHeight="1" thickBot="1">
      <c r="A79" s="81">
        <v>78</v>
      </c>
      <c r="B79" s="81">
        <v>7</v>
      </c>
      <c r="C79" s="22" t="s">
        <v>155</v>
      </c>
      <c r="D79" s="82" t="s">
        <v>279</v>
      </c>
      <c r="E79" s="81" t="s">
        <v>171</v>
      </c>
      <c r="F79" s="23"/>
      <c r="G79" s="23"/>
      <c r="H79" s="25"/>
      <c r="I79" s="22"/>
      <c r="J79" s="26"/>
      <c r="K79" s="22"/>
      <c r="L79" s="25"/>
      <c r="M79" s="83" t="s">
        <v>194</v>
      </c>
      <c r="N79" s="22" t="s">
        <v>192</v>
      </c>
      <c r="O79" s="114">
        <v>2250000</v>
      </c>
      <c r="P79" s="22"/>
      <c r="Q79" s="4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s="6" customFormat="1" ht="23.5" customHeight="1" thickBot="1">
      <c r="A80" s="22">
        <v>79</v>
      </c>
      <c r="B80" s="81">
        <v>7</v>
      </c>
      <c r="C80" s="22" t="s">
        <v>181</v>
      </c>
      <c r="D80" s="82" t="s">
        <v>280</v>
      </c>
      <c r="E80" s="81" t="s">
        <v>210</v>
      </c>
      <c r="F80" s="23"/>
      <c r="G80" s="23"/>
      <c r="H80" s="25"/>
      <c r="I80" s="22"/>
      <c r="J80" s="26"/>
      <c r="K80" s="22"/>
      <c r="L80" s="25"/>
      <c r="M80" s="83" t="s">
        <v>195</v>
      </c>
      <c r="N80" s="22" t="s">
        <v>192</v>
      </c>
      <c r="O80" s="114">
        <v>15000000</v>
      </c>
      <c r="P80" s="22"/>
      <c r="Q80" s="4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s="6" customFormat="1" ht="23.5" customHeight="1" thickBot="1">
      <c r="A81" s="81">
        <v>80</v>
      </c>
      <c r="B81" s="81">
        <v>7</v>
      </c>
      <c r="C81" s="22" t="s">
        <v>181</v>
      </c>
      <c r="D81" s="82" t="s">
        <v>281</v>
      </c>
      <c r="E81" s="81" t="s">
        <v>336</v>
      </c>
      <c r="F81" s="23"/>
      <c r="G81" s="23"/>
      <c r="H81" s="25"/>
      <c r="I81" s="22"/>
      <c r="J81" s="26"/>
      <c r="K81" s="22"/>
      <c r="L81" s="25"/>
      <c r="M81" s="83" t="s">
        <v>194</v>
      </c>
      <c r="N81" s="22" t="s">
        <v>192</v>
      </c>
      <c r="O81" s="114">
        <v>13898000</v>
      </c>
      <c r="P81" s="22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s="6" customFormat="1" ht="23.5" customHeight="1" thickBot="1">
      <c r="A82" s="81">
        <v>81</v>
      </c>
      <c r="B82" s="81">
        <v>8</v>
      </c>
      <c r="C82" s="22" t="s">
        <v>155</v>
      </c>
      <c r="D82" s="82" t="s">
        <v>282</v>
      </c>
      <c r="E82" s="81" t="s">
        <v>208</v>
      </c>
      <c r="F82" s="23"/>
      <c r="G82" s="23"/>
      <c r="H82" s="25"/>
      <c r="I82" s="22"/>
      <c r="J82" s="26"/>
      <c r="K82" s="22"/>
      <c r="L82" s="25"/>
      <c r="M82" s="83" t="s">
        <v>195</v>
      </c>
      <c r="N82" s="22" t="s">
        <v>192</v>
      </c>
      <c r="O82" s="114">
        <v>1920000</v>
      </c>
      <c r="P82" s="22"/>
      <c r="Q82" s="4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</row>
    <row r="83" spans="1:36" s="6" customFormat="1" ht="23.5" customHeight="1" thickBot="1">
      <c r="A83" s="81">
        <v>82</v>
      </c>
      <c r="B83" s="81">
        <v>8</v>
      </c>
      <c r="C83" s="22" t="s">
        <v>181</v>
      </c>
      <c r="D83" s="82" t="s">
        <v>283</v>
      </c>
      <c r="E83" s="81" t="s">
        <v>210</v>
      </c>
      <c r="F83" s="23"/>
      <c r="G83" s="23"/>
      <c r="H83" s="25"/>
      <c r="I83" s="22"/>
      <c r="J83" s="26"/>
      <c r="K83" s="22"/>
      <c r="L83" s="25"/>
      <c r="M83" s="83" t="s">
        <v>196</v>
      </c>
      <c r="N83" s="22" t="s">
        <v>192</v>
      </c>
      <c r="O83" s="114">
        <v>3000000</v>
      </c>
      <c r="P83" s="22"/>
      <c r="Q83" s="4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</row>
    <row r="84" spans="1:36" s="6" customFormat="1" ht="23.5" customHeight="1" thickBot="1">
      <c r="A84" s="22">
        <v>83</v>
      </c>
      <c r="B84" s="81">
        <v>8</v>
      </c>
      <c r="C84" s="22" t="s">
        <v>338</v>
      </c>
      <c r="D84" s="82" t="s">
        <v>284</v>
      </c>
      <c r="E84" s="81" t="s">
        <v>330</v>
      </c>
      <c r="F84" s="23"/>
      <c r="G84" s="23"/>
      <c r="H84" s="25"/>
      <c r="I84" s="22"/>
      <c r="J84" s="26"/>
      <c r="K84" s="22"/>
      <c r="L84" s="25"/>
      <c r="M84" s="83" t="s">
        <v>197</v>
      </c>
      <c r="N84" s="22" t="s">
        <v>192</v>
      </c>
      <c r="O84" s="114">
        <v>10000000</v>
      </c>
      <c r="P84" s="22"/>
      <c r="Q84" s="4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</row>
    <row r="85" spans="1:36" s="6" customFormat="1" ht="23.5" customHeight="1" thickBot="1">
      <c r="A85" s="81">
        <v>84</v>
      </c>
      <c r="B85" s="81">
        <v>8</v>
      </c>
      <c r="C85" s="22" t="s">
        <v>155</v>
      </c>
      <c r="D85" s="82" t="s">
        <v>227</v>
      </c>
      <c r="E85" s="81" t="s">
        <v>331</v>
      </c>
      <c r="F85" s="23"/>
      <c r="G85" s="23"/>
      <c r="H85" s="25"/>
      <c r="I85" s="22"/>
      <c r="J85" s="26"/>
      <c r="K85" s="22"/>
      <c r="L85" s="25"/>
      <c r="M85" s="83" t="s">
        <v>195</v>
      </c>
      <c r="N85" s="22" t="s">
        <v>192</v>
      </c>
      <c r="O85" s="114">
        <v>2462000</v>
      </c>
      <c r="P85" s="22"/>
      <c r="Q85" s="4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</row>
    <row r="86" spans="1:36" s="6" customFormat="1" ht="23.5" customHeight="1" thickBot="1">
      <c r="A86" s="81">
        <v>85</v>
      </c>
      <c r="B86" s="81">
        <v>8</v>
      </c>
      <c r="C86" s="22" t="s">
        <v>181</v>
      </c>
      <c r="D86" s="82" t="s">
        <v>285</v>
      </c>
      <c r="E86" s="81" t="s">
        <v>334</v>
      </c>
      <c r="F86" s="23"/>
      <c r="G86" s="23"/>
      <c r="H86" s="25"/>
      <c r="I86" s="22"/>
      <c r="J86" s="26"/>
      <c r="K86" s="22"/>
      <c r="L86" s="25"/>
      <c r="M86" s="83" t="s">
        <v>194</v>
      </c>
      <c r="N86" s="22" t="s">
        <v>192</v>
      </c>
      <c r="O86" s="114">
        <v>8100000</v>
      </c>
      <c r="P86" s="22"/>
      <c r="Q86" s="4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36" s="6" customFormat="1" ht="23.5" customHeight="1" thickBot="1">
      <c r="A87" s="81">
        <v>86</v>
      </c>
      <c r="B87" s="85">
        <v>8</v>
      </c>
      <c r="C87" s="22" t="s">
        <v>155</v>
      </c>
      <c r="D87" s="86" t="s">
        <v>286</v>
      </c>
      <c r="E87" s="81" t="s">
        <v>208</v>
      </c>
      <c r="F87" s="23"/>
      <c r="G87" s="23"/>
      <c r="H87" s="25"/>
      <c r="I87" s="22"/>
      <c r="J87" s="26"/>
      <c r="K87" s="22"/>
      <c r="L87" s="25"/>
      <c r="M87" s="83" t="s">
        <v>194</v>
      </c>
      <c r="N87" s="22" t="s">
        <v>192</v>
      </c>
      <c r="O87" s="115">
        <v>92137</v>
      </c>
      <c r="P87" s="22"/>
      <c r="Q87" s="4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</row>
    <row r="88" spans="1:36" s="6" customFormat="1" ht="23.5" customHeight="1" thickBot="1">
      <c r="A88" s="22">
        <v>87</v>
      </c>
      <c r="B88" s="87">
        <v>8</v>
      </c>
      <c r="C88" s="22" t="s">
        <v>155</v>
      </c>
      <c r="D88" s="88" t="s">
        <v>287</v>
      </c>
      <c r="E88" s="89" t="s">
        <v>210</v>
      </c>
      <c r="F88" s="23"/>
      <c r="G88" s="23"/>
      <c r="H88" s="25"/>
      <c r="I88" s="22"/>
      <c r="J88" s="26"/>
      <c r="K88" s="22"/>
      <c r="L88" s="25"/>
      <c r="M88" s="90" t="s">
        <v>196</v>
      </c>
      <c r="N88" s="22" t="s">
        <v>192</v>
      </c>
      <c r="O88" s="116">
        <v>4500000</v>
      </c>
      <c r="P88" s="22"/>
      <c r="Q88" s="4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s="6" customFormat="1" ht="23.5" customHeight="1" thickBot="1">
      <c r="A89" s="81">
        <v>88</v>
      </c>
      <c r="B89" s="87">
        <v>8</v>
      </c>
      <c r="C89" s="22" t="s">
        <v>155</v>
      </c>
      <c r="D89" s="88" t="s">
        <v>288</v>
      </c>
      <c r="E89" s="89" t="s">
        <v>210</v>
      </c>
      <c r="F89" s="23"/>
      <c r="G89" s="23"/>
      <c r="H89" s="25"/>
      <c r="I89" s="22"/>
      <c r="J89" s="26"/>
      <c r="K89" s="22"/>
      <c r="L89" s="25"/>
      <c r="M89" s="90" t="s">
        <v>195</v>
      </c>
      <c r="N89" s="22" t="s">
        <v>192</v>
      </c>
      <c r="O89" s="116">
        <v>500000</v>
      </c>
      <c r="P89" s="22"/>
      <c r="Q89" s="4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s="6" customFormat="1" ht="23.5" customHeight="1" thickBot="1">
      <c r="A90" s="81">
        <v>89</v>
      </c>
      <c r="B90" s="91">
        <v>8</v>
      </c>
      <c r="C90" s="22" t="s">
        <v>155</v>
      </c>
      <c r="D90" s="92" t="s">
        <v>289</v>
      </c>
      <c r="E90" s="91" t="s">
        <v>336</v>
      </c>
      <c r="F90" s="23"/>
      <c r="G90" s="23"/>
      <c r="H90" s="25"/>
      <c r="I90" s="22"/>
      <c r="J90" s="26"/>
      <c r="K90" s="22"/>
      <c r="L90" s="25"/>
      <c r="M90" s="93" t="s">
        <v>195</v>
      </c>
      <c r="N90" s="22" t="s">
        <v>192</v>
      </c>
      <c r="O90" s="117">
        <v>220000</v>
      </c>
      <c r="P90" s="22"/>
      <c r="Q90" s="4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s="6" customFormat="1" ht="23.5" customHeight="1" thickBot="1">
      <c r="A91" s="81">
        <v>90</v>
      </c>
      <c r="B91" s="91">
        <v>8</v>
      </c>
      <c r="C91" s="22" t="s">
        <v>155</v>
      </c>
      <c r="D91" s="94" t="s">
        <v>290</v>
      </c>
      <c r="E91" s="91" t="s">
        <v>335</v>
      </c>
      <c r="F91" s="23"/>
      <c r="G91" s="23"/>
      <c r="H91" s="25"/>
      <c r="I91" s="22"/>
      <c r="J91" s="26"/>
      <c r="K91" s="22"/>
      <c r="L91" s="25"/>
      <c r="M91" s="93" t="s">
        <v>196</v>
      </c>
      <c r="N91" s="22" t="s">
        <v>192</v>
      </c>
      <c r="O91" s="117">
        <v>83000</v>
      </c>
      <c r="P91" s="22"/>
      <c r="Q91" s="4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s="6" customFormat="1" ht="23.5" customHeight="1" thickBot="1">
      <c r="A92" s="22">
        <v>91</v>
      </c>
      <c r="B92" s="91">
        <v>8</v>
      </c>
      <c r="C92" s="22" t="s">
        <v>155</v>
      </c>
      <c r="D92" s="94" t="s">
        <v>291</v>
      </c>
      <c r="E92" s="91" t="s">
        <v>336</v>
      </c>
      <c r="F92" s="23"/>
      <c r="G92" s="23"/>
      <c r="H92" s="25"/>
      <c r="I92" s="22"/>
      <c r="J92" s="26"/>
      <c r="K92" s="22"/>
      <c r="L92" s="25"/>
      <c r="M92" s="91" t="s">
        <v>195</v>
      </c>
      <c r="N92" s="22" t="s">
        <v>192</v>
      </c>
      <c r="O92" s="117">
        <v>180000</v>
      </c>
      <c r="P92" s="22"/>
      <c r="Q92" s="4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s="6" customFormat="1" ht="23.5" customHeight="1" thickBot="1">
      <c r="A93" s="81">
        <v>92</v>
      </c>
      <c r="B93" s="91">
        <v>8</v>
      </c>
      <c r="C93" s="22" t="s">
        <v>155</v>
      </c>
      <c r="D93" s="94" t="s">
        <v>292</v>
      </c>
      <c r="E93" s="91" t="s">
        <v>113</v>
      </c>
      <c r="F93" s="23"/>
      <c r="G93" s="23"/>
      <c r="H93" s="25"/>
      <c r="I93" s="22"/>
      <c r="J93" s="26"/>
      <c r="K93" s="22"/>
      <c r="L93" s="25"/>
      <c r="M93" s="91" t="s">
        <v>196</v>
      </c>
      <c r="N93" s="22" t="s">
        <v>192</v>
      </c>
      <c r="O93" s="117">
        <v>2135800</v>
      </c>
      <c r="P93" s="22"/>
      <c r="Q93" s="4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s="6" customFormat="1" ht="23.5" customHeight="1" thickBot="1">
      <c r="A94" s="81">
        <v>93</v>
      </c>
      <c r="B94" s="91">
        <v>8</v>
      </c>
      <c r="C94" s="22" t="s">
        <v>155</v>
      </c>
      <c r="D94" s="94" t="s">
        <v>293</v>
      </c>
      <c r="E94" s="91" t="s">
        <v>113</v>
      </c>
      <c r="F94" s="23"/>
      <c r="G94" s="23"/>
      <c r="H94" s="25"/>
      <c r="I94" s="22"/>
      <c r="J94" s="26"/>
      <c r="K94" s="22"/>
      <c r="L94" s="25"/>
      <c r="M94" s="91" t="s">
        <v>195</v>
      </c>
      <c r="N94" s="22" t="s">
        <v>192</v>
      </c>
      <c r="O94" s="117">
        <v>400000</v>
      </c>
      <c r="P94" s="22"/>
      <c r="Q94" s="4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</row>
    <row r="95" spans="1:36" s="6" customFormat="1" ht="23.5" customHeight="1" thickBot="1">
      <c r="A95" s="81">
        <v>94</v>
      </c>
      <c r="B95" s="91">
        <v>8</v>
      </c>
      <c r="C95" s="22" t="s">
        <v>155</v>
      </c>
      <c r="D95" s="94" t="s">
        <v>294</v>
      </c>
      <c r="E95" s="91" t="s">
        <v>113</v>
      </c>
      <c r="F95" s="23"/>
      <c r="G95" s="23"/>
      <c r="H95" s="25"/>
      <c r="I95" s="22"/>
      <c r="J95" s="26"/>
      <c r="K95" s="22"/>
      <c r="L95" s="25"/>
      <c r="M95" s="91" t="s">
        <v>195</v>
      </c>
      <c r="N95" s="22" t="s">
        <v>192</v>
      </c>
      <c r="O95" s="117">
        <v>750000</v>
      </c>
      <c r="P95" s="22"/>
      <c r="Q95" s="4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</row>
    <row r="96" spans="1:36" s="6" customFormat="1" ht="23.5" customHeight="1" thickBot="1">
      <c r="A96" s="22">
        <v>95</v>
      </c>
      <c r="B96" s="91">
        <v>8</v>
      </c>
      <c r="C96" s="22" t="s">
        <v>181</v>
      </c>
      <c r="D96" s="94" t="s">
        <v>295</v>
      </c>
      <c r="E96" s="91" t="s">
        <v>210</v>
      </c>
      <c r="F96" s="23"/>
      <c r="G96" s="23"/>
      <c r="H96" s="25"/>
      <c r="I96" s="22"/>
      <c r="J96" s="26"/>
      <c r="K96" s="22"/>
      <c r="L96" s="25"/>
      <c r="M96" s="91" t="s">
        <v>195</v>
      </c>
      <c r="N96" s="22" t="s">
        <v>192</v>
      </c>
      <c r="O96" s="117">
        <v>10000000</v>
      </c>
      <c r="P96" s="22"/>
      <c r="Q96" s="4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</row>
    <row r="97" spans="1:36" s="6" customFormat="1" ht="23.5" customHeight="1" thickBot="1">
      <c r="A97" s="81">
        <v>96</v>
      </c>
      <c r="B97" s="91">
        <v>8</v>
      </c>
      <c r="C97" s="22" t="s">
        <v>155</v>
      </c>
      <c r="D97" s="94" t="s">
        <v>296</v>
      </c>
      <c r="E97" s="91" t="s">
        <v>336</v>
      </c>
      <c r="F97" s="23"/>
      <c r="G97" s="23"/>
      <c r="H97" s="25"/>
      <c r="I97" s="22"/>
      <c r="J97" s="26"/>
      <c r="K97" s="22"/>
      <c r="L97" s="25"/>
      <c r="M97" s="91" t="s">
        <v>195</v>
      </c>
      <c r="N97" s="22" t="s">
        <v>192</v>
      </c>
      <c r="O97" s="117">
        <v>1750000</v>
      </c>
      <c r="P97" s="22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</row>
    <row r="98" spans="1:36" s="6" customFormat="1" ht="23.5" customHeight="1" thickBot="1">
      <c r="A98" s="81">
        <v>97</v>
      </c>
      <c r="B98" s="91">
        <v>8</v>
      </c>
      <c r="C98" s="22" t="s">
        <v>155</v>
      </c>
      <c r="D98" s="94" t="s">
        <v>297</v>
      </c>
      <c r="E98" s="91" t="s">
        <v>331</v>
      </c>
      <c r="F98" s="23"/>
      <c r="G98" s="23"/>
      <c r="H98" s="25"/>
      <c r="I98" s="22"/>
      <c r="J98" s="26"/>
      <c r="K98" s="22"/>
      <c r="L98" s="25"/>
      <c r="M98" s="91" t="s">
        <v>195</v>
      </c>
      <c r="N98" s="22" t="s">
        <v>192</v>
      </c>
      <c r="O98" s="117">
        <v>140000</v>
      </c>
      <c r="P98" s="22"/>
      <c r="Q98" s="4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</row>
    <row r="99" spans="1:36" s="6" customFormat="1" ht="23.5" customHeight="1" thickBot="1">
      <c r="A99" s="81">
        <v>98</v>
      </c>
      <c r="B99" s="91">
        <v>8</v>
      </c>
      <c r="C99" s="22" t="s">
        <v>155</v>
      </c>
      <c r="D99" s="94" t="s">
        <v>346</v>
      </c>
      <c r="E99" s="91" t="s">
        <v>331</v>
      </c>
      <c r="F99" s="23"/>
      <c r="G99" s="23"/>
      <c r="H99" s="25"/>
      <c r="I99" s="22"/>
      <c r="J99" s="26"/>
      <c r="K99" s="22"/>
      <c r="L99" s="25"/>
      <c r="M99" s="91" t="s">
        <v>194</v>
      </c>
      <c r="N99" s="22" t="s">
        <v>192</v>
      </c>
      <c r="O99" s="117">
        <v>1820000</v>
      </c>
      <c r="P99" s="22"/>
      <c r="Q99" s="4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</row>
    <row r="100" spans="1:36" s="6" customFormat="1" ht="23.5" customHeight="1" thickBot="1">
      <c r="A100" s="22">
        <v>99</v>
      </c>
      <c r="B100" s="91">
        <v>8</v>
      </c>
      <c r="C100" s="22" t="s">
        <v>338</v>
      </c>
      <c r="D100" s="94" t="s">
        <v>346</v>
      </c>
      <c r="E100" s="91" t="s">
        <v>331</v>
      </c>
      <c r="F100" s="23"/>
      <c r="G100" s="23"/>
      <c r="H100" s="25"/>
      <c r="I100" s="22"/>
      <c r="J100" s="26"/>
      <c r="K100" s="22"/>
      <c r="L100" s="25"/>
      <c r="M100" s="91" t="s">
        <v>194</v>
      </c>
      <c r="N100" s="22" t="s">
        <v>192</v>
      </c>
      <c r="O100" s="117">
        <v>1820000</v>
      </c>
      <c r="P100" s="22"/>
      <c r="Q100" s="4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s="6" customFormat="1" ht="23.5" customHeight="1" thickBot="1">
      <c r="A101" s="81">
        <v>100</v>
      </c>
      <c r="B101" s="91">
        <v>8</v>
      </c>
      <c r="C101" s="22" t="s">
        <v>157</v>
      </c>
      <c r="D101" s="94" t="s">
        <v>347</v>
      </c>
      <c r="E101" s="91" t="s">
        <v>331</v>
      </c>
      <c r="F101" s="23"/>
      <c r="G101" s="23"/>
      <c r="H101" s="25"/>
      <c r="I101" s="22"/>
      <c r="J101" s="26"/>
      <c r="K101" s="22"/>
      <c r="L101" s="25"/>
      <c r="M101" s="91" t="s">
        <v>194</v>
      </c>
      <c r="N101" s="22" t="s">
        <v>192</v>
      </c>
      <c r="O101" s="117">
        <v>1820000</v>
      </c>
      <c r="P101" s="22"/>
      <c r="Q101" s="4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s="6" customFormat="1" ht="23.5" customHeight="1" thickBot="1">
      <c r="A102" s="81">
        <v>101</v>
      </c>
      <c r="B102" s="91">
        <v>8</v>
      </c>
      <c r="C102" s="22" t="s">
        <v>155</v>
      </c>
      <c r="D102" s="94" t="s">
        <v>298</v>
      </c>
      <c r="E102" s="91" t="s">
        <v>331</v>
      </c>
      <c r="F102" s="23"/>
      <c r="G102" s="23"/>
      <c r="H102" s="25"/>
      <c r="I102" s="22"/>
      <c r="J102" s="26"/>
      <c r="K102" s="22"/>
      <c r="L102" s="25"/>
      <c r="M102" s="91" t="s">
        <v>194</v>
      </c>
      <c r="N102" s="22" t="s">
        <v>192</v>
      </c>
      <c r="O102" s="117">
        <v>3800000</v>
      </c>
      <c r="P102" s="22"/>
      <c r="Q102" s="4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s="6" customFormat="1" ht="23.5" customHeight="1" thickBot="1">
      <c r="A103" s="81">
        <v>102</v>
      </c>
      <c r="B103" s="91">
        <v>8</v>
      </c>
      <c r="C103" s="22" t="s">
        <v>155</v>
      </c>
      <c r="D103" s="94" t="s">
        <v>299</v>
      </c>
      <c r="E103" s="91" t="s">
        <v>336</v>
      </c>
      <c r="F103" s="23"/>
      <c r="G103" s="23"/>
      <c r="H103" s="25"/>
      <c r="I103" s="22"/>
      <c r="J103" s="26"/>
      <c r="K103" s="22"/>
      <c r="L103" s="25"/>
      <c r="M103" s="91" t="s">
        <v>194</v>
      </c>
      <c r="N103" s="22" t="s">
        <v>192</v>
      </c>
      <c r="O103" s="117">
        <v>1350000</v>
      </c>
      <c r="P103" s="22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s="6" customFormat="1" ht="23.5" customHeight="1" thickBot="1">
      <c r="A104" s="22">
        <v>103</v>
      </c>
      <c r="B104" s="91">
        <v>8</v>
      </c>
      <c r="C104" s="22" t="s">
        <v>155</v>
      </c>
      <c r="D104" s="94" t="s">
        <v>214</v>
      </c>
      <c r="E104" s="91" t="s">
        <v>330</v>
      </c>
      <c r="F104" s="23"/>
      <c r="G104" s="23"/>
      <c r="H104" s="25"/>
      <c r="I104" s="22"/>
      <c r="J104" s="26"/>
      <c r="K104" s="22"/>
      <c r="L104" s="25"/>
      <c r="M104" s="91" t="s">
        <v>194</v>
      </c>
      <c r="N104" s="22" t="s">
        <v>192</v>
      </c>
      <c r="O104" s="117">
        <v>10000000</v>
      </c>
      <c r="P104" s="22"/>
      <c r="Q104" s="4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s="6" customFormat="1" ht="23.5" customHeight="1" thickBot="1">
      <c r="A105" s="81">
        <v>104</v>
      </c>
      <c r="B105" s="91">
        <v>9</v>
      </c>
      <c r="C105" s="22" t="s">
        <v>155</v>
      </c>
      <c r="D105" s="82" t="s">
        <v>300</v>
      </c>
      <c r="E105" s="81" t="s">
        <v>210</v>
      </c>
      <c r="F105" s="23"/>
      <c r="G105" s="23"/>
      <c r="H105" s="25"/>
      <c r="I105" s="22"/>
      <c r="J105" s="26"/>
      <c r="K105" s="22"/>
      <c r="L105" s="25"/>
      <c r="M105" s="91" t="s">
        <v>194</v>
      </c>
      <c r="N105" s="22" t="s">
        <v>192</v>
      </c>
      <c r="O105" s="117">
        <v>5000000</v>
      </c>
      <c r="P105" s="22"/>
      <c r="Q105" s="4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s="6" customFormat="1" ht="23.5" customHeight="1" thickBot="1">
      <c r="A106" s="81">
        <v>105</v>
      </c>
      <c r="B106" s="91">
        <v>9</v>
      </c>
      <c r="C106" s="22" t="s">
        <v>155</v>
      </c>
      <c r="D106" s="82" t="s">
        <v>301</v>
      </c>
      <c r="E106" s="81" t="s">
        <v>210</v>
      </c>
      <c r="F106" s="23"/>
      <c r="G106" s="23"/>
      <c r="H106" s="25"/>
      <c r="I106" s="22"/>
      <c r="J106" s="26"/>
      <c r="K106" s="22"/>
      <c r="L106" s="25"/>
      <c r="M106" s="91" t="s">
        <v>194</v>
      </c>
      <c r="N106" s="22" t="s">
        <v>192</v>
      </c>
      <c r="O106" s="117">
        <v>5000000</v>
      </c>
      <c r="P106" s="22"/>
      <c r="Q106" s="4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r="107" spans="1:36" s="6" customFormat="1" ht="23.5" customHeight="1" thickBot="1">
      <c r="A107" s="81">
        <v>106</v>
      </c>
      <c r="B107" s="91">
        <v>9</v>
      </c>
      <c r="C107" s="22" t="s">
        <v>155</v>
      </c>
      <c r="D107" s="94" t="s">
        <v>302</v>
      </c>
      <c r="E107" s="91" t="s">
        <v>210</v>
      </c>
      <c r="F107" s="23"/>
      <c r="G107" s="23"/>
      <c r="H107" s="25"/>
      <c r="I107" s="22"/>
      <c r="J107" s="26"/>
      <c r="K107" s="22"/>
      <c r="L107" s="25"/>
      <c r="M107" s="91" t="s">
        <v>195</v>
      </c>
      <c r="N107" s="22" t="s">
        <v>192</v>
      </c>
      <c r="O107" s="117">
        <v>850000</v>
      </c>
      <c r="P107" s="22"/>
      <c r="Q107" s="4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r="108" spans="1:36" s="6" customFormat="1" ht="23.5" customHeight="1" thickBot="1">
      <c r="A108" s="22">
        <v>107</v>
      </c>
      <c r="B108" s="91">
        <v>9</v>
      </c>
      <c r="C108" s="22" t="s">
        <v>155</v>
      </c>
      <c r="D108" s="94" t="s">
        <v>303</v>
      </c>
      <c r="E108" s="91" t="s">
        <v>210</v>
      </c>
      <c r="F108" s="23"/>
      <c r="G108" s="23"/>
      <c r="H108" s="25"/>
      <c r="I108" s="22"/>
      <c r="J108" s="26"/>
      <c r="K108" s="22"/>
      <c r="L108" s="25"/>
      <c r="M108" s="91" t="s">
        <v>195</v>
      </c>
      <c r="N108" s="22" t="s">
        <v>192</v>
      </c>
      <c r="O108" s="117">
        <v>700000</v>
      </c>
      <c r="P108" s="22"/>
      <c r="Q108" s="4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r="109" spans="1:36" s="6" customFormat="1" ht="23.5" customHeight="1" thickBot="1">
      <c r="A109" s="81">
        <v>108</v>
      </c>
      <c r="B109" s="91">
        <v>9</v>
      </c>
      <c r="C109" s="22" t="s">
        <v>338</v>
      </c>
      <c r="D109" s="94" t="s">
        <v>215</v>
      </c>
      <c r="E109" s="91" t="s">
        <v>330</v>
      </c>
      <c r="F109" s="23"/>
      <c r="G109" s="23"/>
      <c r="H109" s="25"/>
      <c r="I109" s="22"/>
      <c r="J109" s="26"/>
      <c r="K109" s="22"/>
      <c r="L109" s="25"/>
      <c r="M109" s="91" t="s">
        <v>197</v>
      </c>
      <c r="N109" s="22" t="s">
        <v>192</v>
      </c>
      <c r="O109" s="117">
        <v>4000000</v>
      </c>
      <c r="P109" s="22"/>
      <c r="Q109" s="4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r="110" spans="1:36" s="6" customFormat="1" ht="23.5" customHeight="1" thickBot="1">
      <c r="A110" s="81">
        <v>109</v>
      </c>
      <c r="B110" s="91">
        <v>9</v>
      </c>
      <c r="C110" s="22" t="s">
        <v>154</v>
      </c>
      <c r="D110" s="94" t="s">
        <v>304</v>
      </c>
      <c r="E110" s="91" t="s">
        <v>336</v>
      </c>
      <c r="F110" s="23"/>
      <c r="G110" s="23"/>
      <c r="H110" s="25"/>
      <c r="I110" s="22"/>
      <c r="J110" s="26"/>
      <c r="K110" s="22"/>
      <c r="L110" s="25"/>
      <c r="M110" s="91" t="s">
        <v>197</v>
      </c>
      <c r="N110" s="22" t="s">
        <v>192</v>
      </c>
      <c r="O110" s="117">
        <v>1750000</v>
      </c>
      <c r="P110" s="22"/>
      <c r="Q110" s="4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r="111" spans="1:36" s="6" customFormat="1" ht="23.5" customHeight="1" thickBot="1">
      <c r="A111" s="81">
        <v>110</v>
      </c>
      <c r="B111" s="91">
        <v>9</v>
      </c>
      <c r="C111" s="22" t="s">
        <v>155</v>
      </c>
      <c r="D111" s="94" t="s">
        <v>305</v>
      </c>
      <c r="E111" s="91" t="s">
        <v>113</v>
      </c>
      <c r="F111" s="23"/>
      <c r="G111" s="23"/>
      <c r="H111" s="25"/>
      <c r="I111" s="22"/>
      <c r="J111" s="26"/>
      <c r="K111" s="22"/>
      <c r="L111" s="25"/>
      <c r="M111" s="91" t="s">
        <v>195</v>
      </c>
      <c r="N111" s="22" t="s">
        <v>192</v>
      </c>
      <c r="O111" s="117">
        <v>400000</v>
      </c>
      <c r="P111" s="22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:36" s="6" customFormat="1" ht="23.5" customHeight="1" thickBot="1">
      <c r="A112" s="22">
        <v>111</v>
      </c>
      <c r="B112" s="91">
        <v>9</v>
      </c>
      <c r="C112" s="22" t="s">
        <v>155</v>
      </c>
      <c r="D112" s="94" t="s">
        <v>306</v>
      </c>
      <c r="E112" s="91" t="s">
        <v>113</v>
      </c>
      <c r="F112" s="23"/>
      <c r="G112" s="23"/>
      <c r="H112" s="25"/>
      <c r="I112" s="22"/>
      <c r="J112" s="26"/>
      <c r="K112" s="22"/>
      <c r="L112" s="25"/>
      <c r="M112" s="91" t="s">
        <v>195</v>
      </c>
      <c r="N112" s="22" t="s">
        <v>192</v>
      </c>
      <c r="O112" s="117">
        <v>322000</v>
      </c>
      <c r="P112" s="22"/>
      <c r="Q112" s="4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s="6" customFormat="1" ht="23.5" customHeight="1" thickBot="1">
      <c r="A113" s="81">
        <v>112</v>
      </c>
      <c r="B113" s="91">
        <v>9</v>
      </c>
      <c r="C113" s="22" t="s">
        <v>155</v>
      </c>
      <c r="D113" s="94" t="s">
        <v>307</v>
      </c>
      <c r="E113" s="81" t="s">
        <v>208</v>
      </c>
      <c r="F113" s="23"/>
      <c r="G113" s="23"/>
      <c r="H113" s="25"/>
      <c r="I113" s="22"/>
      <c r="J113" s="26"/>
      <c r="K113" s="22"/>
      <c r="L113" s="25"/>
      <c r="M113" s="91" t="s">
        <v>194</v>
      </c>
      <c r="N113" s="22" t="s">
        <v>192</v>
      </c>
      <c r="O113" s="117">
        <v>68000</v>
      </c>
      <c r="P113" s="22"/>
      <c r="Q113" s="4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s="6" customFormat="1" ht="23.5" customHeight="1" thickBot="1">
      <c r="A114" s="81">
        <v>113</v>
      </c>
      <c r="B114" s="91">
        <v>9</v>
      </c>
      <c r="C114" s="22" t="s">
        <v>155</v>
      </c>
      <c r="D114" s="94" t="s">
        <v>308</v>
      </c>
      <c r="E114" s="81" t="s">
        <v>208</v>
      </c>
      <c r="F114" s="23"/>
      <c r="G114" s="23"/>
      <c r="H114" s="25"/>
      <c r="I114" s="22"/>
      <c r="J114" s="26"/>
      <c r="K114" s="22"/>
      <c r="L114" s="25"/>
      <c r="M114" s="91" t="s">
        <v>194</v>
      </c>
      <c r="N114" s="22" t="s">
        <v>192</v>
      </c>
      <c r="O114" s="117">
        <v>278300</v>
      </c>
      <c r="P114" s="22"/>
      <c r="Q114" s="4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:36" s="6" customFormat="1" ht="23.5" customHeight="1" thickBot="1">
      <c r="A115" s="81">
        <v>114</v>
      </c>
      <c r="B115" s="91">
        <v>9</v>
      </c>
      <c r="C115" s="22" t="s">
        <v>338</v>
      </c>
      <c r="D115" s="94" t="s">
        <v>309</v>
      </c>
      <c r="E115" s="91" t="s">
        <v>210</v>
      </c>
      <c r="F115" s="23"/>
      <c r="G115" s="23"/>
      <c r="H115" s="25"/>
      <c r="I115" s="22"/>
      <c r="J115" s="26"/>
      <c r="K115" s="22"/>
      <c r="L115" s="25"/>
      <c r="M115" s="91" t="s">
        <v>197</v>
      </c>
      <c r="N115" s="22" t="s">
        <v>192</v>
      </c>
      <c r="O115" s="117">
        <v>6000000</v>
      </c>
      <c r="P115" s="22"/>
      <c r="Q115" s="4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s="6" customFormat="1" ht="23.5" customHeight="1" thickBot="1">
      <c r="A116" s="22">
        <v>115</v>
      </c>
      <c r="B116" s="91">
        <v>9</v>
      </c>
      <c r="C116" s="22" t="s">
        <v>154</v>
      </c>
      <c r="D116" s="94" t="s">
        <v>310</v>
      </c>
      <c r="E116" s="91" t="s">
        <v>210</v>
      </c>
      <c r="F116" s="23"/>
      <c r="G116" s="23"/>
      <c r="H116" s="25"/>
      <c r="I116" s="22"/>
      <c r="J116" s="26"/>
      <c r="K116" s="22"/>
      <c r="L116" s="25"/>
      <c r="M116" s="91" t="s">
        <v>195</v>
      </c>
      <c r="N116" s="22" t="s">
        <v>192</v>
      </c>
      <c r="O116" s="117">
        <v>7000000</v>
      </c>
      <c r="P116" s="22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s="6" customFormat="1" ht="23.5" customHeight="1" thickBot="1">
      <c r="A117" s="81">
        <v>116</v>
      </c>
      <c r="B117" s="91">
        <v>9</v>
      </c>
      <c r="C117" s="22" t="s">
        <v>154</v>
      </c>
      <c r="D117" s="94" t="s">
        <v>311</v>
      </c>
      <c r="E117" s="91" t="s">
        <v>210</v>
      </c>
      <c r="F117" s="23"/>
      <c r="G117" s="23"/>
      <c r="H117" s="25"/>
      <c r="I117" s="22"/>
      <c r="J117" s="26"/>
      <c r="K117" s="22"/>
      <c r="L117" s="25"/>
      <c r="M117" s="91" t="s">
        <v>197</v>
      </c>
      <c r="N117" s="22" t="s">
        <v>192</v>
      </c>
      <c r="O117" s="117">
        <v>2000000</v>
      </c>
      <c r="P117" s="22"/>
      <c r="Q117" s="4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s="6" customFormat="1" ht="23.5" customHeight="1" thickBot="1">
      <c r="A118" s="81">
        <v>117</v>
      </c>
      <c r="B118" s="91">
        <v>9</v>
      </c>
      <c r="C118" s="22" t="s">
        <v>181</v>
      </c>
      <c r="D118" s="94" t="s">
        <v>312</v>
      </c>
      <c r="E118" s="91" t="s">
        <v>113</v>
      </c>
      <c r="F118" s="23"/>
      <c r="G118" s="23"/>
      <c r="H118" s="25"/>
      <c r="I118" s="22"/>
      <c r="J118" s="26"/>
      <c r="K118" s="22"/>
      <c r="L118" s="25"/>
      <c r="M118" s="91" t="s">
        <v>195</v>
      </c>
      <c r="N118" s="22" t="s">
        <v>192</v>
      </c>
      <c r="O118" s="117">
        <v>4900000</v>
      </c>
      <c r="P118" s="22"/>
      <c r="Q118" s="4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r="119" spans="1:36" s="6" customFormat="1" ht="23.5" customHeight="1" thickBot="1">
      <c r="A119" s="81">
        <v>118</v>
      </c>
      <c r="B119" s="91">
        <v>9</v>
      </c>
      <c r="C119" s="22" t="s">
        <v>181</v>
      </c>
      <c r="D119" s="94" t="s">
        <v>313</v>
      </c>
      <c r="E119" s="91" t="s">
        <v>113</v>
      </c>
      <c r="F119" s="23"/>
      <c r="G119" s="23"/>
      <c r="H119" s="25"/>
      <c r="I119" s="22"/>
      <c r="J119" s="26"/>
      <c r="K119" s="22"/>
      <c r="L119" s="25"/>
      <c r="M119" s="91" t="s">
        <v>195</v>
      </c>
      <c r="N119" s="22" t="s">
        <v>192</v>
      </c>
      <c r="O119" s="117">
        <v>4500000</v>
      </c>
      <c r="P119" s="22"/>
      <c r="Q119" s="4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s="6" customFormat="1" ht="23.5" customHeight="1" thickBot="1">
      <c r="A120" s="22">
        <v>119</v>
      </c>
      <c r="B120" s="91">
        <v>9</v>
      </c>
      <c r="C120" s="22" t="s">
        <v>181</v>
      </c>
      <c r="D120" s="95" t="s">
        <v>314</v>
      </c>
      <c r="E120" s="96" t="s">
        <v>113</v>
      </c>
      <c r="F120" s="23"/>
      <c r="G120" s="23"/>
      <c r="H120" s="25"/>
      <c r="I120" s="22"/>
      <c r="J120" s="26"/>
      <c r="K120" s="22"/>
      <c r="L120" s="25"/>
      <c r="M120" s="96" t="s">
        <v>195</v>
      </c>
      <c r="N120" s="22" t="s">
        <v>192</v>
      </c>
      <c r="O120" s="118">
        <v>4800000</v>
      </c>
      <c r="P120" s="22"/>
      <c r="Q120" s="4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r="121" spans="1:36" s="6" customFormat="1" ht="23.5" customHeight="1" thickBot="1">
      <c r="A121" s="81">
        <v>120</v>
      </c>
      <c r="B121" s="97">
        <v>9</v>
      </c>
      <c r="C121" s="22" t="s">
        <v>181</v>
      </c>
      <c r="D121" s="98" t="s">
        <v>315</v>
      </c>
      <c r="E121" s="99" t="s">
        <v>335</v>
      </c>
      <c r="F121" s="23"/>
      <c r="G121" s="23"/>
      <c r="H121" s="25"/>
      <c r="I121" s="22"/>
      <c r="J121" s="26"/>
      <c r="K121" s="22"/>
      <c r="L121" s="25"/>
      <c r="M121" s="100" t="s">
        <v>195</v>
      </c>
      <c r="N121" s="22" t="s">
        <v>192</v>
      </c>
      <c r="O121" s="66">
        <v>2082000</v>
      </c>
      <c r="P121" s="22"/>
      <c r="Q121" s="4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r="122" spans="1:36" s="6" customFormat="1" ht="23.5" customHeight="1" thickBot="1">
      <c r="A122" s="81">
        <v>121</v>
      </c>
      <c r="B122" s="91">
        <v>9</v>
      </c>
      <c r="C122" s="22" t="s">
        <v>154</v>
      </c>
      <c r="D122" s="101" t="s">
        <v>348</v>
      </c>
      <c r="E122" s="102" t="s">
        <v>113</v>
      </c>
      <c r="F122" s="23"/>
      <c r="G122" s="23"/>
      <c r="H122" s="25"/>
      <c r="I122" s="22"/>
      <c r="J122" s="26"/>
      <c r="K122" s="22"/>
      <c r="L122" s="25"/>
      <c r="M122" s="103" t="s">
        <v>195</v>
      </c>
      <c r="N122" s="22" t="s">
        <v>192</v>
      </c>
      <c r="O122" s="119">
        <v>353000</v>
      </c>
      <c r="P122" s="22"/>
      <c r="Q122" s="4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r="123" spans="1:36" s="6" customFormat="1" ht="23.5" customHeight="1" thickBot="1">
      <c r="A123" s="81">
        <v>122</v>
      </c>
      <c r="B123" s="91">
        <v>9</v>
      </c>
      <c r="C123" s="22" t="s">
        <v>155</v>
      </c>
      <c r="D123" s="101" t="s">
        <v>348</v>
      </c>
      <c r="E123" s="102" t="s">
        <v>113</v>
      </c>
      <c r="F123" s="23"/>
      <c r="G123" s="23"/>
      <c r="H123" s="25"/>
      <c r="I123" s="22"/>
      <c r="J123" s="26"/>
      <c r="K123" s="22"/>
      <c r="L123" s="25"/>
      <c r="M123" s="103" t="s">
        <v>195</v>
      </c>
      <c r="N123" s="22" t="s">
        <v>192</v>
      </c>
      <c r="O123" s="119">
        <v>110000</v>
      </c>
      <c r="P123" s="22"/>
      <c r="Q123" s="4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r="124" spans="1:36" s="6" customFormat="1" ht="23.5" customHeight="1" thickBot="1">
      <c r="A124" s="22">
        <v>123</v>
      </c>
      <c r="B124" s="91">
        <v>9</v>
      </c>
      <c r="C124" s="22" t="s">
        <v>154</v>
      </c>
      <c r="D124" s="95" t="s">
        <v>316</v>
      </c>
      <c r="E124" s="96" t="s">
        <v>331</v>
      </c>
      <c r="F124" s="23"/>
      <c r="G124" s="23"/>
      <c r="H124" s="25"/>
      <c r="I124" s="22"/>
      <c r="J124" s="26"/>
      <c r="K124" s="22"/>
      <c r="L124" s="25"/>
      <c r="M124" s="96" t="s">
        <v>195</v>
      </c>
      <c r="N124" s="22" t="s">
        <v>192</v>
      </c>
      <c r="O124" s="118">
        <v>121000</v>
      </c>
      <c r="P124" s="22"/>
      <c r="Q124" s="4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 s="6" customFormat="1" ht="23.5" customHeight="1" thickBot="1">
      <c r="A125" s="81">
        <v>124</v>
      </c>
      <c r="B125" s="97">
        <v>9</v>
      </c>
      <c r="C125" s="22" t="s">
        <v>155</v>
      </c>
      <c r="D125" s="104" t="s">
        <v>317</v>
      </c>
      <c r="E125" s="100" t="s">
        <v>334</v>
      </c>
      <c r="F125" s="23"/>
      <c r="G125" s="23"/>
      <c r="H125" s="25"/>
      <c r="I125" s="22"/>
      <c r="J125" s="26"/>
      <c r="K125" s="22"/>
      <c r="L125" s="25"/>
      <c r="M125" s="105" t="s">
        <v>195</v>
      </c>
      <c r="N125" s="22" t="s">
        <v>192</v>
      </c>
      <c r="O125" s="74">
        <v>500000</v>
      </c>
      <c r="P125" s="22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 s="6" customFormat="1" ht="23.5" customHeight="1" thickBot="1">
      <c r="A126" s="81">
        <v>125</v>
      </c>
      <c r="B126" s="97">
        <v>9</v>
      </c>
      <c r="C126" s="22" t="s">
        <v>181</v>
      </c>
      <c r="D126" s="98" t="s">
        <v>318</v>
      </c>
      <c r="E126" s="99" t="s">
        <v>335</v>
      </c>
      <c r="F126" s="23"/>
      <c r="G126" s="23"/>
      <c r="H126" s="25"/>
      <c r="I126" s="22"/>
      <c r="J126" s="26"/>
      <c r="K126" s="22"/>
      <c r="L126" s="25"/>
      <c r="M126" s="100" t="s">
        <v>195</v>
      </c>
      <c r="N126" s="22" t="s">
        <v>192</v>
      </c>
      <c r="O126" s="66">
        <v>652000</v>
      </c>
      <c r="P126" s="22"/>
      <c r="Q126" s="4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 s="6" customFormat="1" ht="23.5" customHeight="1" thickBot="1">
      <c r="A127" s="81">
        <v>126</v>
      </c>
      <c r="B127" s="106">
        <v>9</v>
      </c>
      <c r="C127" s="22" t="s">
        <v>155</v>
      </c>
      <c r="D127" s="107" t="s">
        <v>319</v>
      </c>
      <c r="E127" s="99" t="s">
        <v>330</v>
      </c>
      <c r="F127" s="23"/>
      <c r="G127" s="23"/>
      <c r="H127" s="25"/>
      <c r="I127" s="22"/>
      <c r="J127" s="26"/>
      <c r="K127" s="22"/>
      <c r="L127" s="25"/>
      <c r="M127" s="100" t="s">
        <v>194</v>
      </c>
      <c r="N127" s="22" t="s">
        <v>192</v>
      </c>
      <c r="O127" s="120">
        <v>10000000</v>
      </c>
      <c r="P127" s="22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 s="6" customFormat="1" ht="23.5" customHeight="1" thickBot="1">
      <c r="A128" s="22">
        <v>127</v>
      </c>
      <c r="B128" s="108">
        <v>9</v>
      </c>
      <c r="C128" s="22" t="s">
        <v>155</v>
      </c>
      <c r="D128" s="109" t="s">
        <v>320</v>
      </c>
      <c r="E128" s="105" t="s">
        <v>331</v>
      </c>
      <c r="F128" s="23"/>
      <c r="G128" s="23"/>
      <c r="H128" s="25"/>
      <c r="I128" s="22"/>
      <c r="J128" s="26"/>
      <c r="K128" s="22"/>
      <c r="L128" s="25"/>
      <c r="M128" s="105" t="s">
        <v>194</v>
      </c>
      <c r="N128" s="22" t="s">
        <v>192</v>
      </c>
      <c r="O128" s="121">
        <v>850000</v>
      </c>
      <c r="P128" s="22"/>
      <c r="Q128" s="4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 s="6" customFormat="1" ht="23.5" customHeight="1" thickBot="1">
      <c r="A129" s="81">
        <v>128</v>
      </c>
      <c r="B129" s="108">
        <v>9</v>
      </c>
      <c r="C129" s="22" t="s">
        <v>155</v>
      </c>
      <c r="D129" s="107" t="s">
        <v>321</v>
      </c>
      <c r="E129" s="105" t="s">
        <v>113</v>
      </c>
      <c r="F129" s="23"/>
      <c r="G129" s="23"/>
      <c r="H129" s="25"/>
      <c r="I129" s="22"/>
      <c r="J129" s="26"/>
      <c r="K129" s="22"/>
      <c r="L129" s="25"/>
      <c r="M129" s="100" t="s">
        <v>196</v>
      </c>
      <c r="N129" s="22" t="s">
        <v>192</v>
      </c>
      <c r="O129" s="66">
        <v>1277500</v>
      </c>
      <c r="P129" s="22"/>
      <c r="Q129" s="4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 s="6" customFormat="1" ht="23.5" customHeight="1" thickBot="1">
      <c r="A130" s="81">
        <v>129</v>
      </c>
      <c r="B130" s="108">
        <v>9</v>
      </c>
      <c r="C130" s="22" t="s">
        <v>155</v>
      </c>
      <c r="D130" s="107" t="s">
        <v>322</v>
      </c>
      <c r="E130" s="105" t="s">
        <v>113</v>
      </c>
      <c r="F130" s="23"/>
      <c r="G130" s="23"/>
      <c r="H130" s="25"/>
      <c r="I130" s="22"/>
      <c r="J130" s="26"/>
      <c r="K130" s="22"/>
      <c r="L130" s="25"/>
      <c r="M130" s="100" t="s">
        <v>195</v>
      </c>
      <c r="N130" s="22" t="s">
        <v>192</v>
      </c>
      <c r="O130" s="66">
        <v>290000</v>
      </c>
      <c r="P130" s="22"/>
      <c r="Q130" s="4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r="131" spans="1:36" s="6" customFormat="1" ht="23.5" customHeight="1" thickBot="1">
      <c r="A131" s="81">
        <v>130</v>
      </c>
      <c r="B131" s="108">
        <v>9</v>
      </c>
      <c r="C131" s="22" t="s">
        <v>155</v>
      </c>
      <c r="D131" s="107" t="s">
        <v>321</v>
      </c>
      <c r="E131" s="105" t="s">
        <v>113</v>
      </c>
      <c r="F131" s="23"/>
      <c r="G131" s="23"/>
      <c r="H131" s="25"/>
      <c r="I131" s="22"/>
      <c r="J131" s="26"/>
      <c r="K131" s="22"/>
      <c r="L131" s="25"/>
      <c r="M131" s="100" t="s">
        <v>196</v>
      </c>
      <c r="N131" s="22" t="s">
        <v>192</v>
      </c>
      <c r="O131" s="66">
        <v>1001500</v>
      </c>
      <c r="P131" s="22"/>
      <c r="Q131" s="4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r="132" spans="1:36" s="6" customFormat="1" ht="23.5" customHeight="1" thickBot="1">
      <c r="A132" s="22">
        <v>131</v>
      </c>
      <c r="B132" s="110">
        <v>9</v>
      </c>
      <c r="C132" s="22" t="s">
        <v>155</v>
      </c>
      <c r="D132" s="109" t="s">
        <v>323</v>
      </c>
      <c r="E132" s="105" t="s">
        <v>113</v>
      </c>
      <c r="F132" s="23"/>
      <c r="G132" s="23"/>
      <c r="H132" s="25"/>
      <c r="I132" s="22"/>
      <c r="J132" s="26"/>
      <c r="K132" s="22"/>
      <c r="L132" s="25"/>
      <c r="M132" s="105" t="s">
        <v>195</v>
      </c>
      <c r="N132" s="22" t="s">
        <v>192</v>
      </c>
      <c r="O132" s="74">
        <v>50000</v>
      </c>
      <c r="P132" s="22"/>
      <c r="Q132" s="4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r="133" spans="1:36" s="6" customFormat="1" ht="23.5" customHeight="1" thickBot="1">
      <c r="A133" s="81">
        <v>132</v>
      </c>
      <c r="B133" s="111">
        <v>9</v>
      </c>
      <c r="C133" s="22" t="s">
        <v>154</v>
      </c>
      <c r="D133" s="107" t="s">
        <v>324</v>
      </c>
      <c r="E133" s="111" t="s">
        <v>113</v>
      </c>
      <c r="F133" s="23"/>
      <c r="G133" s="23"/>
      <c r="H133" s="25"/>
      <c r="I133" s="22"/>
      <c r="J133" s="26"/>
      <c r="K133" s="22"/>
      <c r="L133" s="25"/>
      <c r="M133" s="100" t="s">
        <v>195</v>
      </c>
      <c r="N133" s="22" t="s">
        <v>192</v>
      </c>
      <c r="O133" s="66">
        <v>45000</v>
      </c>
      <c r="P133" s="22"/>
      <c r="Q133" s="4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r="134" spans="1:36" s="6" customFormat="1" ht="23.5" customHeight="1" thickBot="1">
      <c r="A134" s="81">
        <v>133</v>
      </c>
      <c r="B134" s="111">
        <v>9</v>
      </c>
      <c r="C134" s="22" t="s">
        <v>155</v>
      </c>
      <c r="D134" s="107" t="s">
        <v>325</v>
      </c>
      <c r="E134" s="111" t="s">
        <v>113</v>
      </c>
      <c r="F134" s="23"/>
      <c r="G134" s="23"/>
      <c r="H134" s="25"/>
      <c r="I134" s="22"/>
      <c r="J134" s="26"/>
      <c r="K134" s="22"/>
      <c r="L134" s="25"/>
      <c r="M134" s="100" t="s">
        <v>195</v>
      </c>
      <c r="N134" s="22" t="s">
        <v>192</v>
      </c>
      <c r="O134" s="66">
        <v>1400000</v>
      </c>
      <c r="P134" s="22"/>
      <c r="Q134" s="4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 s="6" customFormat="1" ht="23.5" customHeight="1" thickBot="1">
      <c r="A135" s="81">
        <v>134</v>
      </c>
      <c r="B135" s="111">
        <v>9</v>
      </c>
      <c r="C135" s="22" t="s">
        <v>155</v>
      </c>
      <c r="D135" s="64" t="s">
        <v>326</v>
      </c>
      <c r="E135" s="111" t="s">
        <v>113</v>
      </c>
      <c r="F135" s="23"/>
      <c r="G135" s="23"/>
      <c r="H135" s="25"/>
      <c r="I135" s="22"/>
      <c r="J135" s="26"/>
      <c r="K135" s="22"/>
      <c r="L135" s="25"/>
      <c r="M135" s="100" t="s">
        <v>195</v>
      </c>
      <c r="N135" s="22" t="s">
        <v>192</v>
      </c>
      <c r="O135" s="66">
        <v>90000</v>
      </c>
      <c r="P135" s="22"/>
      <c r="Q135" s="4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r="136" spans="1:36" s="6" customFormat="1" ht="23.5" customHeight="1" thickBot="1">
      <c r="A136" s="22">
        <v>135</v>
      </c>
      <c r="B136" s="111">
        <v>9</v>
      </c>
      <c r="C136" s="22" t="s">
        <v>154</v>
      </c>
      <c r="D136" s="64" t="s">
        <v>327</v>
      </c>
      <c r="E136" s="111" t="s">
        <v>113</v>
      </c>
      <c r="F136" s="23"/>
      <c r="G136" s="23"/>
      <c r="H136" s="25"/>
      <c r="I136" s="22"/>
      <c r="J136" s="26"/>
      <c r="K136" s="22"/>
      <c r="L136" s="25"/>
      <c r="M136" s="100" t="s">
        <v>197</v>
      </c>
      <c r="N136" s="22" t="s">
        <v>192</v>
      </c>
      <c r="O136" s="66">
        <v>107000</v>
      </c>
      <c r="P136" s="22"/>
      <c r="Q136" s="4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 s="6" customFormat="1" ht="23.5" customHeight="1" thickBot="1">
      <c r="A137" s="81">
        <v>136</v>
      </c>
      <c r="B137" s="111">
        <v>9</v>
      </c>
      <c r="C137" s="22" t="s">
        <v>155</v>
      </c>
      <c r="D137" s="112" t="s">
        <v>328</v>
      </c>
      <c r="E137" s="99" t="s">
        <v>335</v>
      </c>
      <c r="F137" s="23"/>
      <c r="G137" s="23"/>
      <c r="H137" s="25"/>
      <c r="I137" s="22"/>
      <c r="J137" s="26"/>
      <c r="K137" s="22"/>
      <c r="L137" s="25"/>
      <c r="M137" s="100" t="s">
        <v>197</v>
      </c>
      <c r="N137" s="22" t="s">
        <v>192</v>
      </c>
      <c r="O137" s="66">
        <v>447000</v>
      </c>
      <c r="P137" s="22"/>
      <c r="Q137" s="4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 s="6" customFormat="1" ht="23.5" customHeight="1" thickBot="1">
      <c r="A138" s="81">
        <v>137</v>
      </c>
      <c r="B138" s="111">
        <v>9</v>
      </c>
      <c r="C138" s="22" t="s">
        <v>155</v>
      </c>
      <c r="D138" s="112" t="s">
        <v>257</v>
      </c>
      <c r="E138" s="99" t="s">
        <v>335</v>
      </c>
      <c r="F138" s="23"/>
      <c r="G138" s="23"/>
      <c r="H138" s="25"/>
      <c r="I138" s="22"/>
      <c r="J138" s="26"/>
      <c r="K138" s="22"/>
      <c r="L138" s="25"/>
      <c r="M138" s="100" t="s">
        <v>197</v>
      </c>
      <c r="N138" s="22" t="s">
        <v>192</v>
      </c>
      <c r="O138" s="66">
        <v>97000</v>
      </c>
      <c r="P138" s="22"/>
      <c r="Q138" s="4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 s="6" customFormat="1" ht="23.5" customHeight="1" thickBot="1">
      <c r="A139" s="81">
        <v>138</v>
      </c>
      <c r="B139" s="111">
        <v>9</v>
      </c>
      <c r="C139" s="22" t="s">
        <v>155</v>
      </c>
      <c r="D139" s="64" t="s">
        <v>329</v>
      </c>
      <c r="E139" s="99" t="s">
        <v>208</v>
      </c>
      <c r="F139" s="23"/>
      <c r="G139" s="23"/>
      <c r="H139" s="25"/>
      <c r="I139" s="22"/>
      <c r="J139" s="26"/>
      <c r="K139" s="22"/>
      <c r="L139" s="25"/>
      <c r="M139" s="100" t="s">
        <v>195</v>
      </c>
      <c r="N139" s="22" t="s">
        <v>192</v>
      </c>
      <c r="O139" s="66">
        <v>382342</v>
      </c>
      <c r="P139" s="22"/>
      <c r="Q139" s="4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s="6" customFormat="1" ht="23.5" customHeight="1" thickBot="1">
      <c r="A140" s="22">
        <v>139</v>
      </c>
      <c r="B140" s="97">
        <v>10</v>
      </c>
      <c r="C140" s="22" t="s">
        <v>154</v>
      </c>
      <c r="D140" s="132" t="s">
        <v>345</v>
      </c>
      <c r="E140" s="133" t="s">
        <v>335</v>
      </c>
      <c r="F140" s="23"/>
      <c r="G140" s="23"/>
      <c r="H140" s="25"/>
      <c r="I140" s="22"/>
      <c r="J140" s="26"/>
      <c r="K140" s="22"/>
      <c r="L140" s="25"/>
      <c r="M140" s="134" t="s">
        <v>194</v>
      </c>
      <c r="N140" s="22" t="s">
        <v>192</v>
      </c>
      <c r="O140" s="135">
        <v>160000</v>
      </c>
      <c r="P140" s="22"/>
      <c r="Q140" s="4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 s="6" customFormat="1" ht="23.5" customHeight="1" thickBot="1">
      <c r="A141" s="81">
        <v>140</v>
      </c>
      <c r="B141" s="22">
        <v>10</v>
      </c>
      <c r="C141" s="22" t="s">
        <v>154</v>
      </c>
      <c r="D141" s="24" t="s">
        <v>26</v>
      </c>
      <c r="E141" s="23" t="s">
        <v>112</v>
      </c>
      <c r="F141" s="23" t="s">
        <v>38</v>
      </c>
      <c r="G141" s="23" t="s">
        <v>40</v>
      </c>
      <c r="H141" s="25">
        <v>2.66</v>
      </c>
      <c r="I141" s="22">
        <v>550000</v>
      </c>
      <c r="J141" s="26">
        <f t="shared" ref="J141" si="0">I141*H141</f>
        <v>1463000</v>
      </c>
      <c r="K141" s="22"/>
      <c r="L141" s="25"/>
      <c r="M141" s="22" t="s">
        <v>194</v>
      </c>
      <c r="N141" s="22" t="s">
        <v>192</v>
      </c>
      <c r="O141" s="56">
        <f t="shared" ref="O141" si="1">L141+J141</f>
        <v>1463000</v>
      </c>
      <c r="P141" s="22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s="6" customFormat="1" ht="23.5" customHeight="1" thickBot="1">
      <c r="A142" s="81">
        <v>141</v>
      </c>
      <c r="B142" s="22">
        <v>10</v>
      </c>
      <c r="C142" s="22" t="s">
        <v>154</v>
      </c>
      <c r="D142" s="24" t="s">
        <v>28</v>
      </c>
      <c r="E142" s="23" t="s">
        <v>112</v>
      </c>
      <c r="F142" s="23" t="s">
        <v>38</v>
      </c>
      <c r="G142" s="23" t="s">
        <v>41</v>
      </c>
      <c r="H142" s="25">
        <v>67.77</v>
      </c>
      <c r="I142" s="22">
        <v>40000000</v>
      </c>
      <c r="J142" s="26">
        <f>(40000000/88.13)*H142</f>
        <v>30759105.866333824</v>
      </c>
      <c r="K142" s="22"/>
      <c r="L142" s="25"/>
      <c r="M142" s="22" t="s">
        <v>194</v>
      </c>
      <c r="N142" s="22" t="s">
        <v>192</v>
      </c>
      <c r="O142" s="56">
        <f t="shared" ref="O142:O172" si="2">L142+J142</f>
        <v>30759105.866333824</v>
      </c>
      <c r="P142" s="22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r="143" spans="1:36" s="6" customFormat="1" ht="23.5" customHeight="1" thickBot="1">
      <c r="A143" s="81">
        <v>142</v>
      </c>
      <c r="B143" s="22">
        <v>10</v>
      </c>
      <c r="C143" s="22" t="s">
        <v>154</v>
      </c>
      <c r="D143" s="29" t="s">
        <v>6</v>
      </c>
      <c r="E143" s="23" t="s">
        <v>112</v>
      </c>
      <c r="F143" s="22" t="s">
        <v>38</v>
      </c>
      <c r="G143" s="23" t="s">
        <v>40</v>
      </c>
      <c r="H143" s="25">
        <v>20</v>
      </c>
      <c r="I143" s="30">
        <v>150000</v>
      </c>
      <c r="J143" s="26">
        <f t="shared" ref="J143:J146" si="3">I143*H143</f>
        <v>3000000</v>
      </c>
      <c r="K143" s="22">
        <v>128</v>
      </c>
      <c r="L143" s="31">
        <v>204800</v>
      </c>
      <c r="M143" s="22" t="s">
        <v>194</v>
      </c>
      <c r="N143" s="22" t="s">
        <v>192</v>
      </c>
      <c r="O143" s="56">
        <f>L143+J143</f>
        <v>3204800</v>
      </c>
      <c r="P143" s="28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r="144" spans="1:36" s="6" customFormat="1" ht="23.5" customHeight="1" thickBot="1">
      <c r="A144" s="22">
        <v>143</v>
      </c>
      <c r="B144" s="22">
        <v>10</v>
      </c>
      <c r="C144" s="22" t="s">
        <v>154</v>
      </c>
      <c r="D144" s="29" t="s">
        <v>6</v>
      </c>
      <c r="E144" s="23" t="s">
        <v>112</v>
      </c>
      <c r="F144" s="22" t="s">
        <v>37</v>
      </c>
      <c r="G144" s="23" t="s">
        <v>40</v>
      </c>
      <c r="H144" s="25">
        <v>2</v>
      </c>
      <c r="I144" s="30">
        <v>50000</v>
      </c>
      <c r="J144" s="26">
        <f t="shared" si="3"/>
        <v>100000</v>
      </c>
      <c r="K144" s="32"/>
      <c r="L144" s="25"/>
      <c r="M144" s="22" t="s">
        <v>194</v>
      </c>
      <c r="N144" s="22" t="s">
        <v>192</v>
      </c>
      <c r="O144" s="56">
        <f t="shared" si="2"/>
        <v>100000</v>
      </c>
      <c r="P144" s="22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r="145" spans="1:36" s="6" customFormat="1" ht="23.5" customHeight="1" thickBot="1">
      <c r="A145" s="81">
        <v>144</v>
      </c>
      <c r="B145" s="22">
        <v>10</v>
      </c>
      <c r="C145" s="22" t="s">
        <v>154</v>
      </c>
      <c r="D145" s="29" t="s">
        <v>7</v>
      </c>
      <c r="E145" s="23" t="s">
        <v>112</v>
      </c>
      <c r="F145" s="22" t="s">
        <v>38</v>
      </c>
      <c r="G145" s="23" t="s">
        <v>40</v>
      </c>
      <c r="H145" s="25">
        <v>24</v>
      </c>
      <c r="I145" s="30">
        <v>150000</v>
      </c>
      <c r="J145" s="26">
        <f t="shared" si="3"/>
        <v>3600000</v>
      </c>
      <c r="K145" s="22">
        <v>144</v>
      </c>
      <c r="L145" s="31">
        <v>230400</v>
      </c>
      <c r="M145" s="22" t="s">
        <v>194</v>
      </c>
      <c r="N145" s="22" t="s">
        <v>192</v>
      </c>
      <c r="O145" s="56">
        <f t="shared" si="2"/>
        <v>3830400</v>
      </c>
      <c r="P145" s="28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r="146" spans="1:36" s="6" customFormat="1" ht="23.5" customHeight="1" thickBot="1">
      <c r="A146" s="81">
        <v>145</v>
      </c>
      <c r="B146" s="22">
        <v>10</v>
      </c>
      <c r="C146" s="22" t="s">
        <v>154</v>
      </c>
      <c r="D146" s="29" t="s">
        <v>33</v>
      </c>
      <c r="E146" s="23" t="s">
        <v>112</v>
      </c>
      <c r="F146" s="22" t="s">
        <v>37</v>
      </c>
      <c r="G146" s="23" t="s">
        <v>40</v>
      </c>
      <c r="H146" s="25">
        <v>1</v>
      </c>
      <c r="I146" s="30">
        <v>50000</v>
      </c>
      <c r="J146" s="26">
        <f t="shared" si="3"/>
        <v>50000</v>
      </c>
      <c r="K146" s="32"/>
      <c r="L146" s="25">
        <v>0</v>
      </c>
      <c r="M146" s="22" t="s">
        <v>194</v>
      </c>
      <c r="N146" s="22" t="s">
        <v>192</v>
      </c>
      <c r="O146" s="56">
        <f>L146+J146</f>
        <v>50000</v>
      </c>
      <c r="P146" s="22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r="147" spans="1:36" s="6" customFormat="1" ht="23.5" customHeight="1" thickBot="1">
      <c r="A147" s="81">
        <v>146</v>
      </c>
      <c r="B147" s="22">
        <v>10</v>
      </c>
      <c r="C147" s="22" t="s">
        <v>154</v>
      </c>
      <c r="D147" s="29" t="s">
        <v>8</v>
      </c>
      <c r="E147" s="23" t="s">
        <v>112</v>
      </c>
      <c r="F147" s="22" t="s">
        <v>38</v>
      </c>
      <c r="G147" s="23" t="s">
        <v>40</v>
      </c>
      <c r="H147" s="25">
        <v>10</v>
      </c>
      <c r="I147" s="30">
        <v>130000</v>
      </c>
      <c r="J147" s="26">
        <f t="shared" ref="J147:J160" si="4">I147*H147</f>
        <v>1300000</v>
      </c>
      <c r="K147" s="22">
        <v>145</v>
      </c>
      <c r="L147" s="31">
        <v>232000</v>
      </c>
      <c r="M147" s="22" t="s">
        <v>194</v>
      </c>
      <c r="N147" s="22" t="s">
        <v>192</v>
      </c>
      <c r="O147" s="56">
        <f t="shared" si="2"/>
        <v>1532000</v>
      </c>
      <c r="P147" s="172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r="148" spans="1:36" s="6" customFormat="1" ht="23.5" customHeight="1" thickBot="1">
      <c r="A148" s="22">
        <v>147</v>
      </c>
      <c r="B148" s="22">
        <v>10</v>
      </c>
      <c r="C148" s="22" t="s">
        <v>154</v>
      </c>
      <c r="D148" s="29" t="s">
        <v>8</v>
      </c>
      <c r="E148" s="23" t="s">
        <v>112</v>
      </c>
      <c r="F148" s="22" t="s">
        <v>37</v>
      </c>
      <c r="G148" s="23" t="s">
        <v>40</v>
      </c>
      <c r="H148" s="25">
        <v>11.82</v>
      </c>
      <c r="I148" s="30">
        <v>50000</v>
      </c>
      <c r="J148" s="26">
        <f t="shared" si="4"/>
        <v>591000</v>
      </c>
      <c r="K148" s="32"/>
      <c r="L148" s="25"/>
      <c r="M148" s="22" t="s">
        <v>194</v>
      </c>
      <c r="N148" s="22" t="s">
        <v>192</v>
      </c>
      <c r="O148" s="56">
        <f>L148+J148</f>
        <v>591000</v>
      </c>
      <c r="P148" s="173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 s="6" customFormat="1" ht="23.5" customHeight="1" thickBot="1">
      <c r="A149" s="81">
        <v>148</v>
      </c>
      <c r="B149" s="22">
        <v>10</v>
      </c>
      <c r="C149" s="22" t="s">
        <v>154</v>
      </c>
      <c r="D149" s="29" t="s">
        <v>9</v>
      </c>
      <c r="E149" s="23" t="s">
        <v>112</v>
      </c>
      <c r="F149" s="22" t="s">
        <v>38</v>
      </c>
      <c r="G149" s="23" t="s">
        <v>40</v>
      </c>
      <c r="H149" s="25">
        <v>17</v>
      </c>
      <c r="I149" s="30">
        <v>130000</v>
      </c>
      <c r="J149" s="26">
        <f t="shared" si="4"/>
        <v>2210000</v>
      </c>
      <c r="K149" s="32"/>
      <c r="L149" s="25"/>
      <c r="M149" s="22" t="s">
        <v>194</v>
      </c>
      <c r="N149" s="22" t="s">
        <v>192</v>
      </c>
      <c r="O149" s="56">
        <f t="shared" si="2"/>
        <v>2210000</v>
      </c>
      <c r="P149" s="28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 s="6" customFormat="1" ht="23.5" customHeight="1" thickBot="1">
      <c r="A150" s="81">
        <v>149</v>
      </c>
      <c r="B150" s="22">
        <v>10</v>
      </c>
      <c r="C150" s="22" t="s">
        <v>154</v>
      </c>
      <c r="D150" s="29" t="s">
        <v>103</v>
      </c>
      <c r="E150" s="23" t="s">
        <v>112</v>
      </c>
      <c r="F150" s="22" t="s">
        <v>37</v>
      </c>
      <c r="G150" s="23" t="s">
        <v>40</v>
      </c>
      <c r="H150" s="25">
        <v>18.5</v>
      </c>
      <c r="I150" s="30">
        <v>50000</v>
      </c>
      <c r="J150" s="26">
        <f t="shared" si="4"/>
        <v>925000</v>
      </c>
      <c r="K150" s="32"/>
      <c r="L150" s="25"/>
      <c r="M150" s="22" t="s">
        <v>194</v>
      </c>
      <c r="N150" s="22" t="s">
        <v>192</v>
      </c>
      <c r="O150" s="56">
        <f t="shared" si="2"/>
        <v>925000</v>
      </c>
      <c r="P150" s="22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 s="6" customFormat="1" ht="23.5" customHeight="1" thickBot="1">
      <c r="A151" s="81">
        <v>150</v>
      </c>
      <c r="B151" s="22">
        <v>10</v>
      </c>
      <c r="C151" s="22" t="s">
        <v>154</v>
      </c>
      <c r="D151" s="29" t="s">
        <v>10</v>
      </c>
      <c r="E151" s="23" t="s">
        <v>112</v>
      </c>
      <c r="F151" s="22" t="s">
        <v>38</v>
      </c>
      <c r="G151" s="23" t="s">
        <v>40</v>
      </c>
      <c r="H151" s="25">
        <v>9.5</v>
      </c>
      <c r="I151" s="30">
        <v>130000</v>
      </c>
      <c r="J151" s="26">
        <f t="shared" si="4"/>
        <v>1235000</v>
      </c>
      <c r="K151" s="22">
        <v>232</v>
      </c>
      <c r="L151" s="31">
        <v>371200</v>
      </c>
      <c r="M151" s="22" t="s">
        <v>194</v>
      </c>
      <c r="N151" s="22" t="s">
        <v>192</v>
      </c>
      <c r="O151" s="56">
        <f t="shared" si="2"/>
        <v>1606200</v>
      </c>
      <c r="P151" s="28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 s="6" customFormat="1" ht="23.5" customHeight="1" thickBot="1">
      <c r="A152" s="22">
        <v>151</v>
      </c>
      <c r="B152" s="22">
        <v>10</v>
      </c>
      <c r="C152" s="22" t="s">
        <v>154</v>
      </c>
      <c r="D152" s="29" t="s">
        <v>104</v>
      </c>
      <c r="E152" s="23" t="s">
        <v>112</v>
      </c>
      <c r="F152" s="22" t="s">
        <v>37</v>
      </c>
      <c r="G152" s="23" t="s">
        <v>40</v>
      </c>
      <c r="H152" s="25">
        <v>22.8</v>
      </c>
      <c r="I152" s="30">
        <v>50000</v>
      </c>
      <c r="J152" s="26">
        <f t="shared" si="4"/>
        <v>1140000</v>
      </c>
      <c r="K152" s="32"/>
      <c r="L152" s="25"/>
      <c r="M152" s="22" t="s">
        <v>194</v>
      </c>
      <c r="N152" s="22" t="s">
        <v>192</v>
      </c>
      <c r="O152" s="56">
        <f t="shared" si="2"/>
        <v>1140000</v>
      </c>
      <c r="P152" s="22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 s="6" customFormat="1" ht="23.5" customHeight="1" thickBot="1">
      <c r="A153" s="81">
        <v>152</v>
      </c>
      <c r="B153" s="22">
        <v>10</v>
      </c>
      <c r="C153" s="22" t="s">
        <v>154</v>
      </c>
      <c r="D153" s="24" t="s">
        <v>11</v>
      </c>
      <c r="E153" s="23" t="s">
        <v>112</v>
      </c>
      <c r="F153" s="23" t="s">
        <v>36</v>
      </c>
      <c r="G153" s="23" t="s">
        <v>40</v>
      </c>
      <c r="H153" s="25">
        <v>192</v>
      </c>
      <c r="I153" s="22">
        <v>8000000</v>
      </c>
      <c r="J153" s="26">
        <v>8000000</v>
      </c>
      <c r="K153" s="22"/>
      <c r="L153" s="25"/>
      <c r="M153" s="22" t="s">
        <v>194</v>
      </c>
      <c r="N153" s="22" t="s">
        <v>192</v>
      </c>
      <c r="O153" s="56">
        <f t="shared" si="2"/>
        <v>8000000</v>
      </c>
      <c r="P153" s="174">
        <f>O153+O154+O155</f>
        <v>9077700</v>
      </c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 s="6" customFormat="1" ht="23.5" customHeight="1" thickBot="1">
      <c r="A154" s="81">
        <v>153</v>
      </c>
      <c r="B154" s="22">
        <v>10</v>
      </c>
      <c r="C154" s="22" t="s">
        <v>154</v>
      </c>
      <c r="D154" s="29" t="s">
        <v>11</v>
      </c>
      <c r="E154" s="23" t="s">
        <v>112</v>
      </c>
      <c r="F154" s="22" t="s">
        <v>38</v>
      </c>
      <c r="G154" s="23" t="s">
        <v>40</v>
      </c>
      <c r="H154" s="25">
        <v>5.5</v>
      </c>
      <c r="I154" s="30" t="s">
        <v>121</v>
      </c>
      <c r="J154" s="26">
        <f>(150000*4)+(180000*1.5)</f>
        <v>870000</v>
      </c>
      <c r="K154" s="22">
        <v>57</v>
      </c>
      <c r="L154" s="31">
        <v>91200</v>
      </c>
      <c r="M154" s="22" t="s">
        <v>194</v>
      </c>
      <c r="N154" s="22" t="s">
        <v>192</v>
      </c>
      <c r="O154" s="56">
        <f>L154+J154</f>
        <v>961200</v>
      </c>
      <c r="P154" s="172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r="155" spans="1:36" s="6" customFormat="1" ht="23.5" customHeight="1" thickBot="1">
      <c r="A155" s="81">
        <v>154</v>
      </c>
      <c r="B155" s="22">
        <v>10</v>
      </c>
      <c r="C155" s="22" t="s">
        <v>154</v>
      </c>
      <c r="D155" s="34" t="s">
        <v>105</v>
      </c>
      <c r="E155" s="23" t="s">
        <v>112</v>
      </c>
      <c r="F155" s="22" t="s">
        <v>37</v>
      </c>
      <c r="G155" s="23" t="s">
        <v>40</v>
      </c>
      <c r="H155" s="35">
        <v>2.33</v>
      </c>
      <c r="I155" s="36">
        <v>50000</v>
      </c>
      <c r="J155" s="37">
        <f t="shared" si="4"/>
        <v>116500</v>
      </c>
      <c r="K155" s="38"/>
      <c r="L155" s="35"/>
      <c r="M155" s="22" t="s">
        <v>194</v>
      </c>
      <c r="N155" s="22" t="s">
        <v>192</v>
      </c>
      <c r="O155" s="68">
        <f t="shared" si="2"/>
        <v>116500</v>
      </c>
      <c r="P155" s="173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r="156" spans="1:36" s="6" customFormat="1" ht="23.5" customHeight="1" thickBot="1">
      <c r="A156" s="22">
        <v>155</v>
      </c>
      <c r="B156" s="22">
        <v>10</v>
      </c>
      <c r="C156" s="22" t="s">
        <v>154</v>
      </c>
      <c r="D156" s="24" t="s">
        <v>15</v>
      </c>
      <c r="E156" s="23" t="s">
        <v>112</v>
      </c>
      <c r="F156" s="23" t="s">
        <v>36</v>
      </c>
      <c r="G156" s="23" t="s">
        <v>40</v>
      </c>
      <c r="H156" s="25">
        <v>192</v>
      </c>
      <c r="I156" s="22">
        <v>8000000</v>
      </c>
      <c r="J156" s="26">
        <v>8000000</v>
      </c>
      <c r="K156" s="22"/>
      <c r="L156" s="25"/>
      <c r="M156" s="22" t="s">
        <v>194</v>
      </c>
      <c r="N156" s="22" t="s">
        <v>192</v>
      </c>
      <c r="O156" s="56">
        <f t="shared" si="2"/>
        <v>8000000</v>
      </c>
      <c r="P156" s="174">
        <f>O156+O157</f>
        <v>9440800</v>
      </c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r="157" spans="1:36" s="6" customFormat="1" ht="23.5" customHeight="1" thickBot="1">
      <c r="A157" s="81">
        <v>156</v>
      </c>
      <c r="B157" s="22">
        <v>10</v>
      </c>
      <c r="C157" s="22" t="s">
        <v>154</v>
      </c>
      <c r="D157" s="29" t="s">
        <v>106</v>
      </c>
      <c r="E157" s="23" t="s">
        <v>112</v>
      </c>
      <c r="F157" s="22" t="s">
        <v>37</v>
      </c>
      <c r="G157" s="23" t="s">
        <v>40</v>
      </c>
      <c r="H157" s="25">
        <v>19.32</v>
      </c>
      <c r="I157" s="30">
        <v>60000</v>
      </c>
      <c r="J157" s="26">
        <f t="shared" si="4"/>
        <v>1159200</v>
      </c>
      <c r="K157" s="22">
        <v>176</v>
      </c>
      <c r="L157" s="31">
        <v>281600</v>
      </c>
      <c r="M157" s="22" t="s">
        <v>194</v>
      </c>
      <c r="N157" s="22" t="s">
        <v>192</v>
      </c>
      <c r="O157" s="56">
        <f t="shared" si="2"/>
        <v>1440800</v>
      </c>
      <c r="P157" s="173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r="158" spans="1:36" s="6" customFormat="1" ht="23.5" customHeight="1" thickBot="1">
      <c r="A158" s="81">
        <v>157</v>
      </c>
      <c r="B158" s="22">
        <v>10</v>
      </c>
      <c r="C158" s="22" t="s">
        <v>154</v>
      </c>
      <c r="D158" s="24" t="s">
        <v>12</v>
      </c>
      <c r="E158" s="23" t="s">
        <v>112</v>
      </c>
      <c r="F158" s="23" t="s">
        <v>38</v>
      </c>
      <c r="G158" s="23" t="s">
        <v>40</v>
      </c>
      <c r="H158" s="25">
        <v>4.5</v>
      </c>
      <c r="I158" s="30">
        <v>130000</v>
      </c>
      <c r="J158" s="26">
        <f t="shared" si="4"/>
        <v>585000</v>
      </c>
      <c r="K158" s="22">
        <v>75</v>
      </c>
      <c r="L158" s="31">
        <v>120000</v>
      </c>
      <c r="M158" s="22" t="s">
        <v>194</v>
      </c>
      <c r="N158" s="22" t="s">
        <v>192</v>
      </c>
      <c r="O158" s="56">
        <f t="shared" si="2"/>
        <v>705000</v>
      </c>
      <c r="P158" s="28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r="159" spans="1:36" s="6" customFormat="1" ht="23.5" customHeight="1" thickBot="1">
      <c r="A159" s="81">
        <v>158</v>
      </c>
      <c r="B159" s="22">
        <v>10</v>
      </c>
      <c r="C159" s="22" t="s">
        <v>154</v>
      </c>
      <c r="D159" s="32" t="s">
        <v>107</v>
      </c>
      <c r="E159" s="23" t="s">
        <v>112</v>
      </c>
      <c r="F159" s="23" t="s">
        <v>37</v>
      </c>
      <c r="G159" s="23" t="s">
        <v>40</v>
      </c>
      <c r="H159" s="25">
        <v>42.24</v>
      </c>
      <c r="I159" s="30">
        <v>60000</v>
      </c>
      <c r="J159" s="31">
        <v>2534400</v>
      </c>
      <c r="K159" s="22">
        <v>13.2</v>
      </c>
      <c r="L159" s="31">
        <v>21120</v>
      </c>
      <c r="M159" s="22" t="s">
        <v>194</v>
      </c>
      <c r="N159" s="22" t="s">
        <v>192</v>
      </c>
      <c r="O159" s="69">
        <v>2555520</v>
      </c>
      <c r="P159" s="22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r="160" spans="1:36" s="6" customFormat="1" ht="23.5" customHeight="1" thickBot="1">
      <c r="A160" s="22">
        <v>159</v>
      </c>
      <c r="B160" s="22">
        <v>10</v>
      </c>
      <c r="C160" s="22" t="s">
        <v>154</v>
      </c>
      <c r="D160" s="24" t="s">
        <v>14</v>
      </c>
      <c r="E160" s="23" t="s">
        <v>112</v>
      </c>
      <c r="F160" s="23" t="s">
        <v>37</v>
      </c>
      <c r="G160" s="23" t="s">
        <v>40</v>
      </c>
      <c r="H160" s="25">
        <v>28.5</v>
      </c>
      <c r="I160" s="30">
        <v>50000</v>
      </c>
      <c r="J160" s="26">
        <f t="shared" si="4"/>
        <v>1425000</v>
      </c>
      <c r="K160" s="22">
        <v>440</v>
      </c>
      <c r="L160" s="31">
        <v>704000</v>
      </c>
      <c r="M160" s="22" t="s">
        <v>194</v>
      </c>
      <c r="N160" s="22" t="s">
        <v>192</v>
      </c>
      <c r="O160" s="56">
        <f t="shared" si="2"/>
        <v>2129000</v>
      </c>
      <c r="P160" s="28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 s="6" customFormat="1" ht="23.5" customHeight="1" thickBot="1">
      <c r="A161" s="81">
        <v>160</v>
      </c>
      <c r="B161" s="22">
        <v>10</v>
      </c>
      <c r="C161" s="22" t="s">
        <v>154</v>
      </c>
      <c r="D161" s="24" t="s">
        <v>13</v>
      </c>
      <c r="E161" s="23" t="s">
        <v>112</v>
      </c>
      <c r="F161" s="23" t="s">
        <v>37</v>
      </c>
      <c r="G161" s="23" t="s">
        <v>40</v>
      </c>
      <c r="H161" s="25">
        <v>17.5</v>
      </c>
      <c r="I161" s="30">
        <v>50000</v>
      </c>
      <c r="J161" s="26">
        <f>I161*H161</f>
        <v>875000</v>
      </c>
      <c r="K161" s="22"/>
      <c r="L161" s="31"/>
      <c r="M161" s="22" t="s">
        <v>194</v>
      </c>
      <c r="N161" s="22" t="s">
        <v>192</v>
      </c>
      <c r="O161" s="56">
        <f t="shared" si="2"/>
        <v>875000</v>
      </c>
      <c r="P161" s="22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 s="6" customFormat="1" ht="23.5" customHeight="1" thickBot="1">
      <c r="A162" s="81">
        <v>161</v>
      </c>
      <c r="B162" s="22">
        <v>10</v>
      </c>
      <c r="C162" s="22" t="s">
        <v>154</v>
      </c>
      <c r="D162" s="24" t="s">
        <v>16</v>
      </c>
      <c r="E162" s="23" t="s">
        <v>112</v>
      </c>
      <c r="F162" s="23" t="s">
        <v>38</v>
      </c>
      <c r="G162" s="23" t="s">
        <v>40</v>
      </c>
      <c r="H162" s="25">
        <v>1</v>
      </c>
      <c r="I162" s="30">
        <v>170000</v>
      </c>
      <c r="J162" s="39">
        <f>I162*H162</f>
        <v>170000</v>
      </c>
      <c r="K162" s="40"/>
      <c r="L162" s="41"/>
      <c r="M162" s="22" t="s">
        <v>194</v>
      </c>
      <c r="N162" s="22" t="s">
        <v>192</v>
      </c>
      <c r="O162" s="70">
        <f t="shared" si="2"/>
        <v>170000</v>
      </c>
      <c r="P162" s="40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 s="6" customFormat="1" ht="23.5" customHeight="1" thickBot="1">
      <c r="A163" s="81">
        <v>162</v>
      </c>
      <c r="B163" s="22">
        <v>10</v>
      </c>
      <c r="C163" s="22" t="s">
        <v>153</v>
      </c>
      <c r="D163" s="24" t="s">
        <v>19</v>
      </c>
      <c r="E163" s="23" t="s">
        <v>112</v>
      </c>
      <c r="F163" s="23" t="s">
        <v>37</v>
      </c>
      <c r="G163" s="23" t="s">
        <v>40</v>
      </c>
      <c r="H163" s="25">
        <v>3</v>
      </c>
      <c r="I163" s="22">
        <v>40000</v>
      </c>
      <c r="J163" s="26">
        <f t="shared" ref="J163:J165" si="5">I163*H163</f>
        <v>120000</v>
      </c>
      <c r="K163" s="22"/>
      <c r="L163" s="25"/>
      <c r="M163" s="22" t="s">
        <v>194</v>
      </c>
      <c r="N163" s="22" t="s">
        <v>192</v>
      </c>
      <c r="O163" s="56">
        <f t="shared" si="2"/>
        <v>120000</v>
      </c>
      <c r="P163" s="22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 s="6" customFormat="1" ht="23.5" customHeight="1" thickBot="1">
      <c r="A164" s="22">
        <v>163</v>
      </c>
      <c r="B164" s="22">
        <v>10</v>
      </c>
      <c r="C164" s="22" t="s">
        <v>153</v>
      </c>
      <c r="D164" s="24" t="s">
        <v>20</v>
      </c>
      <c r="E164" s="23" t="s">
        <v>112</v>
      </c>
      <c r="F164" s="23" t="s">
        <v>37</v>
      </c>
      <c r="G164" s="23" t="s">
        <v>40</v>
      </c>
      <c r="H164" s="25">
        <v>3</v>
      </c>
      <c r="I164" s="22">
        <v>40000</v>
      </c>
      <c r="J164" s="26">
        <f t="shared" si="5"/>
        <v>120000</v>
      </c>
      <c r="K164" s="22"/>
      <c r="L164" s="25"/>
      <c r="M164" s="22" t="s">
        <v>194</v>
      </c>
      <c r="N164" s="22" t="s">
        <v>192</v>
      </c>
      <c r="O164" s="56">
        <f t="shared" si="2"/>
        <v>120000</v>
      </c>
      <c r="P164" s="22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 s="6" customFormat="1" ht="23.5" customHeight="1" thickBot="1">
      <c r="A165" s="81">
        <v>164</v>
      </c>
      <c r="B165" s="22">
        <v>10</v>
      </c>
      <c r="C165" s="22" t="s">
        <v>153</v>
      </c>
      <c r="D165" s="24" t="s">
        <v>24</v>
      </c>
      <c r="E165" s="23" t="s">
        <v>112</v>
      </c>
      <c r="F165" s="23" t="s">
        <v>37</v>
      </c>
      <c r="G165" s="23" t="s">
        <v>40</v>
      </c>
      <c r="H165" s="25">
        <v>3</v>
      </c>
      <c r="I165" s="22">
        <v>40000</v>
      </c>
      <c r="J165" s="26">
        <f t="shared" si="5"/>
        <v>120000</v>
      </c>
      <c r="K165" s="22"/>
      <c r="L165" s="25"/>
      <c r="M165" s="22" t="s">
        <v>194</v>
      </c>
      <c r="N165" s="22" t="s">
        <v>192</v>
      </c>
      <c r="O165" s="56">
        <f t="shared" si="2"/>
        <v>120000</v>
      </c>
      <c r="P165" s="22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 s="6" customFormat="1" ht="23.5" customHeight="1" thickBot="1">
      <c r="A166" s="81">
        <v>165</v>
      </c>
      <c r="B166" s="22">
        <v>10</v>
      </c>
      <c r="C166" s="22" t="s">
        <v>153</v>
      </c>
      <c r="D166" s="24" t="s">
        <v>28</v>
      </c>
      <c r="E166" s="23" t="s">
        <v>112</v>
      </c>
      <c r="F166" s="23" t="s">
        <v>38</v>
      </c>
      <c r="G166" s="23" t="s">
        <v>41</v>
      </c>
      <c r="H166" s="25">
        <v>11</v>
      </c>
      <c r="I166" s="22">
        <v>40000000</v>
      </c>
      <c r="J166" s="26">
        <f>(40000000/88.13)*H166</f>
        <v>4992624.5319414502</v>
      </c>
      <c r="K166" s="22"/>
      <c r="L166" s="25"/>
      <c r="M166" s="22" t="s">
        <v>194</v>
      </c>
      <c r="N166" s="22" t="s">
        <v>192</v>
      </c>
      <c r="O166" s="56">
        <f>J166</f>
        <v>4992624.5319414502</v>
      </c>
      <c r="P166" s="22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r="167" spans="1:36" s="6" customFormat="1" ht="23.5" customHeight="1" thickBot="1">
      <c r="A167" s="81">
        <v>166</v>
      </c>
      <c r="B167" s="22">
        <v>10</v>
      </c>
      <c r="C167" s="22" t="s">
        <v>153</v>
      </c>
      <c r="D167" s="24" t="s">
        <v>102</v>
      </c>
      <c r="E167" s="23" t="s">
        <v>112</v>
      </c>
      <c r="F167" s="23" t="s">
        <v>38</v>
      </c>
      <c r="G167" s="23" t="s">
        <v>40</v>
      </c>
      <c r="H167" s="25">
        <v>3</v>
      </c>
      <c r="I167" s="22">
        <v>150000</v>
      </c>
      <c r="J167" s="26">
        <f t="shared" ref="J167:J171" si="6">I167*H167</f>
        <v>450000</v>
      </c>
      <c r="K167" s="22"/>
      <c r="L167" s="25"/>
      <c r="M167" s="22" t="s">
        <v>194</v>
      </c>
      <c r="N167" s="22" t="s">
        <v>192</v>
      </c>
      <c r="O167" s="56">
        <f>L167+J167</f>
        <v>450000</v>
      </c>
      <c r="P167" s="22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r="168" spans="1:36" s="6" customFormat="1" ht="23.5" customHeight="1" thickBot="1">
      <c r="A168" s="22">
        <v>167</v>
      </c>
      <c r="B168" s="22">
        <v>10</v>
      </c>
      <c r="C168" s="22" t="s">
        <v>153</v>
      </c>
      <c r="D168" s="29" t="s">
        <v>8</v>
      </c>
      <c r="E168" s="23" t="s">
        <v>112</v>
      </c>
      <c r="F168" s="22" t="s">
        <v>38</v>
      </c>
      <c r="G168" s="23" t="s">
        <v>40</v>
      </c>
      <c r="H168" s="25">
        <v>1.5</v>
      </c>
      <c r="I168" s="30">
        <v>130000</v>
      </c>
      <c r="J168" s="26">
        <f t="shared" si="6"/>
        <v>195000</v>
      </c>
      <c r="K168" s="22"/>
      <c r="L168" s="31"/>
      <c r="M168" s="22" t="s">
        <v>194</v>
      </c>
      <c r="N168" s="22" t="s">
        <v>192</v>
      </c>
      <c r="O168" s="56">
        <f t="shared" si="2"/>
        <v>195000</v>
      </c>
      <c r="P168" s="172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r="169" spans="1:36" s="6" customFormat="1" ht="23.5" customHeight="1" thickBot="1">
      <c r="A169" s="81">
        <v>168</v>
      </c>
      <c r="B169" s="22">
        <v>10</v>
      </c>
      <c r="C169" s="22" t="s">
        <v>153</v>
      </c>
      <c r="D169" s="29" t="s">
        <v>8</v>
      </c>
      <c r="E169" s="23" t="s">
        <v>112</v>
      </c>
      <c r="F169" s="22" t="s">
        <v>37</v>
      </c>
      <c r="G169" s="23" t="s">
        <v>40</v>
      </c>
      <c r="H169" s="25">
        <v>4.5</v>
      </c>
      <c r="I169" s="30">
        <v>50000</v>
      </c>
      <c r="J169" s="26">
        <f t="shared" si="6"/>
        <v>225000</v>
      </c>
      <c r="K169" s="32"/>
      <c r="L169" s="25"/>
      <c r="M169" s="22" t="s">
        <v>194</v>
      </c>
      <c r="N169" s="22" t="s">
        <v>192</v>
      </c>
      <c r="O169" s="56">
        <f>L169+J169</f>
        <v>225000</v>
      </c>
      <c r="P169" s="173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r="170" spans="1:36" s="6" customFormat="1" ht="23.5" customHeight="1" thickBot="1">
      <c r="A170" s="81">
        <v>169</v>
      </c>
      <c r="B170" s="22">
        <v>10</v>
      </c>
      <c r="C170" s="22" t="s">
        <v>153</v>
      </c>
      <c r="D170" s="29" t="s">
        <v>11</v>
      </c>
      <c r="E170" s="23" t="s">
        <v>112</v>
      </c>
      <c r="F170" s="22" t="s">
        <v>38</v>
      </c>
      <c r="G170" s="23" t="s">
        <v>40</v>
      </c>
      <c r="H170" s="25">
        <v>1.5</v>
      </c>
      <c r="I170" s="30">
        <v>180000</v>
      </c>
      <c r="J170" s="26">
        <f>I170*H170</f>
        <v>270000</v>
      </c>
      <c r="K170" s="22"/>
      <c r="L170" s="31"/>
      <c r="M170" s="22" t="s">
        <v>194</v>
      </c>
      <c r="N170" s="22" t="s">
        <v>192</v>
      </c>
      <c r="O170" s="56">
        <f>L170+J170</f>
        <v>270000</v>
      </c>
      <c r="P170" s="33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r="171" spans="1:36" s="6" customFormat="1" ht="23.5" customHeight="1" thickBot="1">
      <c r="A171" s="81">
        <v>170</v>
      </c>
      <c r="B171" s="22">
        <v>10</v>
      </c>
      <c r="C171" s="22" t="s">
        <v>153</v>
      </c>
      <c r="D171" s="24" t="s">
        <v>32</v>
      </c>
      <c r="E171" s="23" t="s">
        <v>112</v>
      </c>
      <c r="F171" s="23" t="s">
        <v>38</v>
      </c>
      <c r="G171" s="23" t="s">
        <v>40</v>
      </c>
      <c r="H171" s="25">
        <v>3</v>
      </c>
      <c r="I171" s="30">
        <v>160000</v>
      </c>
      <c r="J171" s="26">
        <f t="shared" si="6"/>
        <v>480000</v>
      </c>
      <c r="K171" s="22"/>
      <c r="L171" s="31"/>
      <c r="M171" s="22" t="s">
        <v>194</v>
      </c>
      <c r="N171" s="22" t="s">
        <v>192</v>
      </c>
      <c r="O171" s="56">
        <f t="shared" si="2"/>
        <v>480000</v>
      </c>
      <c r="P171" s="28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r="172" spans="1:36" s="6" customFormat="1" ht="23.5" customHeight="1" thickBot="1">
      <c r="A172" s="22">
        <v>171</v>
      </c>
      <c r="B172" s="22">
        <v>10</v>
      </c>
      <c r="C172" s="22" t="s">
        <v>153</v>
      </c>
      <c r="D172" s="24" t="s">
        <v>8</v>
      </c>
      <c r="E172" s="23" t="s">
        <v>112</v>
      </c>
      <c r="F172" s="23" t="s">
        <v>36</v>
      </c>
      <c r="G172" s="23" t="s">
        <v>41</v>
      </c>
      <c r="H172" s="25">
        <v>96</v>
      </c>
      <c r="I172" s="30">
        <v>8000000</v>
      </c>
      <c r="J172" s="26">
        <f>(85%*I172)+((85%*I172)/24*7)</f>
        <v>8783333.333333334</v>
      </c>
      <c r="K172" s="22"/>
      <c r="L172" s="31"/>
      <c r="M172" s="22" t="s">
        <v>194</v>
      </c>
      <c r="N172" s="22" t="s">
        <v>192</v>
      </c>
      <c r="O172" s="56">
        <f t="shared" si="2"/>
        <v>8783333.333333334</v>
      </c>
      <c r="P172" s="28" t="s">
        <v>108</v>
      </c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 s="6" customFormat="1" ht="23.5" customHeight="1" thickBot="1">
      <c r="A173" s="81">
        <v>172</v>
      </c>
      <c r="B173" s="22">
        <v>10</v>
      </c>
      <c r="C173" s="22" t="s">
        <v>153</v>
      </c>
      <c r="D173" s="24" t="s">
        <v>18</v>
      </c>
      <c r="E173" s="23" t="s">
        <v>112</v>
      </c>
      <c r="F173" s="23" t="s">
        <v>36</v>
      </c>
      <c r="G173" s="23" t="s">
        <v>40</v>
      </c>
      <c r="H173" s="25">
        <v>12</v>
      </c>
      <c r="I173" s="22">
        <v>3500000</v>
      </c>
      <c r="J173" s="26">
        <v>437500</v>
      </c>
      <c r="K173" s="22"/>
      <c r="L173" s="25"/>
      <c r="M173" s="22" t="s">
        <v>194</v>
      </c>
      <c r="N173" s="22" t="s">
        <v>192</v>
      </c>
      <c r="O173" s="56">
        <f>L173+J173</f>
        <v>437500</v>
      </c>
      <c r="P173" s="22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 s="6" customFormat="1" ht="23.5" customHeight="1" thickBot="1">
      <c r="A174" s="81">
        <v>173</v>
      </c>
      <c r="B174" s="22">
        <v>10</v>
      </c>
      <c r="C174" s="22" t="s">
        <v>155</v>
      </c>
      <c r="D174" s="24" t="s">
        <v>19</v>
      </c>
      <c r="E174" s="23" t="s">
        <v>112</v>
      </c>
      <c r="F174" s="23" t="s">
        <v>37</v>
      </c>
      <c r="G174" s="23" t="s">
        <v>40</v>
      </c>
      <c r="H174" s="25">
        <v>13.86</v>
      </c>
      <c r="I174" s="43">
        <v>50000</v>
      </c>
      <c r="J174" s="26">
        <f t="shared" ref="J174:J179" si="7">I174*H174</f>
        <v>693000</v>
      </c>
      <c r="K174" s="22"/>
      <c r="L174" s="25"/>
      <c r="M174" s="22" t="s">
        <v>194</v>
      </c>
      <c r="N174" s="22" t="s">
        <v>192</v>
      </c>
      <c r="O174" s="56">
        <f t="shared" ref="O174:O189" si="8">L174+J174</f>
        <v>693000</v>
      </c>
      <c r="P174" s="22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 s="6" customFormat="1" ht="23.5" customHeight="1" thickBot="1">
      <c r="A175" s="81">
        <v>174</v>
      </c>
      <c r="B175" s="22">
        <v>10</v>
      </c>
      <c r="C175" s="22" t="s">
        <v>155</v>
      </c>
      <c r="D175" s="24" t="s">
        <v>20</v>
      </c>
      <c r="E175" s="23" t="s">
        <v>112</v>
      </c>
      <c r="F175" s="23" t="s">
        <v>37</v>
      </c>
      <c r="G175" s="23" t="s">
        <v>40</v>
      </c>
      <c r="H175" s="25">
        <v>13.86</v>
      </c>
      <c r="I175" s="43">
        <v>50000</v>
      </c>
      <c r="J175" s="26">
        <f t="shared" si="7"/>
        <v>693000</v>
      </c>
      <c r="K175" s="22"/>
      <c r="L175" s="25"/>
      <c r="M175" s="22" t="s">
        <v>194</v>
      </c>
      <c r="N175" s="22" t="s">
        <v>192</v>
      </c>
      <c r="O175" s="56">
        <f t="shared" si="8"/>
        <v>693000</v>
      </c>
      <c r="P175" s="22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 s="6" customFormat="1" ht="23.5" customHeight="1" thickBot="1">
      <c r="A176" s="22">
        <v>175</v>
      </c>
      <c r="B176" s="22">
        <v>10</v>
      </c>
      <c r="C176" s="22" t="s">
        <v>155</v>
      </c>
      <c r="D176" s="24" t="s">
        <v>21</v>
      </c>
      <c r="E176" s="23" t="s">
        <v>112</v>
      </c>
      <c r="F176" s="23" t="s">
        <v>37</v>
      </c>
      <c r="G176" s="23" t="s">
        <v>40</v>
      </c>
      <c r="H176" s="25">
        <v>7.02</v>
      </c>
      <c r="I176" s="43">
        <v>50000</v>
      </c>
      <c r="J176" s="26">
        <f t="shared" si="7"/>
        <v>351000</v>
      </c>
      <c r="K176" s="22"/>
      <c r="L176" s="25"/>
      <c r="M176" s="22" t="s">
        <v>194</v>
      </c>
      <c r="N176" s="22" t="s">
        <v>192</v>
      </c>
      <c r="O176" s="56">
        <f t="shared" si="8"/>
        <v>351000</v>
      </c>
      <c r="P176" s="22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 s="6" customFormat="1" ht="23.5" customHeight="1" thickBot="1">
      <c r="A177" s="81">
        <v>176</v>
      </c>
      <c r="B177" s="22">
        <v>10</v>
      </c>
      <c r="C177" s="22" t="s">
        <v>155</v>
      </c>
      <c r="D177" s="24" t="s">
        <v>22</v>
      </c>
      <c r="E177" s="23" t="s">
        <v>112</v>
      </c>
      <c r="F177" s="23" t="s">
        <v>37</v>
      </c>
      <c r="G177" s="23" t="s">
        <v>40</v>
      </c>
      <c r="H177" s="25">
        <v>4.6666999999999996</v>
      </c>
      <c r="I177" s="43">
        <v>50000</v>
      </c>
      <c r="J177" s="26">
        <f t="shared" si="7"/>
        <v>233334.99999999997</v>
      </c>
      <c r="K177" s="22"/>
      <c r="L177" s="25"/>
      <c r="M177" s="22" t="s">
        <v>194</v>
      </c>
      <c r="N177" s="22" t="s">
        <v>192</v>
      </c>
      <c r="O177" s="56">
        <f t="shared" si="8"/>
        <v>233334.99999999997</v>
      </c>
      <c r="P177" s="22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 s="6" customFormat="1" ht="23.5" customHeight="1" thickBot="1">
      <c r="A178" s="81">
        <v>177</v>
      </c>
      <c r="B178" s="22">
        <v>10</v>
      </c>
      <c r="C178" s="22" t="s">
        <v>155</v>
      </c>
      <c r="D178" s="24" t="s">
        <v>23</v>
      </c>
      <c r="E178" s="23" t="s">
        <v>112</v>
      </c>
      <c r="F178" s="23" t="s">
        <v>37</v>
      </c>
      <c r="G178" s="23" t="s">
        <v>40</v>
      </c>
      <c r="H178" s="25">
        <v>1.1666700000000001</v>
      </c>
      <c r="I178" s="43">
        <v>50000</v>
      </c>
      <c r="J178" s="26">
        <f t="shared" si="7"/>
        <v>58333.500000000007</v>
      </c>
      <c r="K178" s="22"/>
      <c r="L178" s="25"/>
      <c r="M178" s="22" t="s">
        <v>194</v>
      </c>
      <c r="N178" s="22" t="s">
        <v>192</v>
      </c>
      <c r="O178" s="56">
        <f t="shared" si="8"/>
        <v>58333.500000000007</v>
      </c>
      <c r="P178" s="22" t="s">
        <v>101</v>
      </c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r="179" spans="1:36" s="6" customFormat="1" ht="23.5" customHeight="1" thickBot="1">
      <c r="A179" s="81">
        <v>178</v>
      </c>
      <c r="B179" s="22">
        <v>10</v>
      </c>
      <c r="C179" s="22" t="s">
        <v>155</v>
      </c>
      <c r="D179" s="24" t="s">
        <v>24</v>
      </c>
      <c r="E179" s="23" t="s">
        <v>112</v>
      </c>
      <c r="F179" s="23" t="s">
        <v>37</v>
      </c>
      <c r="G179" s="23" t="s">
        <v>40</v>
      </c>
      <c r="H179" s="25">
        <v>9.36</v>
      </c>
      <c r="I179" s="43">
        <v>50000</v>
      </c>
      <c r="J179" s="26">
        <f t="shared" si="7"/>
        <v>468000</v>
      </c>
      <c r="K179" s="22"/>
      <c r="L179" s="25"/>
      <c r="M179" s="22" t="s">
        <v>194</v>
      </c>
      <c r="N179" s="22" t="s">
        <v>192</v>
      </c>
      <c r="O179" s="56">
        <f t="shared" si="8"/>
        <v>468000</v>
      </c>
      <c r="P179" s="22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r="180" spans="1:36" s="6" customFormat="1" ht="23.5" customHeight="1" thickBot="1">
      <c r="A180" s="22">
        <v>179</v>
      </c>
      <c r="B180" s="22">
        <v>10</v>
      </c>
      <c r="C180" s="22" t="s">
        <v>155</v>
      </c>
      <c r="D180" s="24" t="s">
        <v>25</v>
      </c>
      <c r="E180" s="23" t="s">
        <v>112</v>
      </c>
      <c r="F180" s="23" t="s">
        <v>38</v>
      </c>
      <c r="G180" s="23" t="s">
        <v>40</v>
      </c>
      <c r="H180" s="25">
        <v>9.36</v>
      </c>
      <c r="I180" s="43">
        <v>550000</v>
      </c>
      <c r="J180" s="26">
        <f>I180*H180</f>
        <v>5148000</v>
      </c>
      <c r="K180" s="22"/>
      <c r="L180" s="25"/>
      <c r="M180" s="22" t="s">
        <v>194</v>
      </c>
      <c r="N180" s="22" t="s">
        <v>192</v>
      </c>
      <c r="O180" s="56">
        <f t="shared" si="8"/>
        <v>5148000</v>
      </c>
      <c r="P180" s="22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r="181" spans="1:36" s="6" customFormat="1" ht="23.5" customHeight="1" thickBot="1">
      <c r="A181" s="81">
        <v>180</v>
      </c>
      <c r="B181" s="22">
        <v>10</v>
      </c>
      <c r="C181" s="22" t="s">
        <v>155</v>
      </c>
      <c r="D181" s="24" t="s">
        <v>26</v>
      </c>
      <c r="E181" s="23" t="s">
        <v>112</v>
      </c>
      <c r="F181" s="23" t="s">
        <v>38</v>
      </c>
      <c r="G181" s="23" t="s">
        <v>40</v>
      </c>
      <c r="H181" s="25">
        <v>9.36</v>
      </c>
      <c r="I181" s="43">
        <v>550000</v>
      </c>
      <c r="J181" s="26">
        <f t="shared" ref="J181:J182" si="9">I181*H181</f>
        <v>5148000</v>
      </c>
      <c r="K181" s="22"/>
      <c r="L181" s="25"/>
      <c r="M181" s="22" t="s">
        <v>194</v>
      </c>
      <c r="N181" s="22" t="s">
        <v>192</v>
      </c>
      <c r="O181" s="56">
        <f t="shared" si="8"/>
        <v>5148000</v>
      </c>
      <c r="P181" s="22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r="182" spans="1:36" s="6" customFormat="1" ht="23.5" customHeight="1" thickBot="1">
      <c r="A182" s="81">
        <v>181</v>
      </c>
      <c r="B182" s="22">
        <v>10</v>
      </c>
      <c r="C182" s="22" t="s">
        <v>155</v>
      </c>
      <c r="D182" s="24" t="s">
        <v>27</v>
      </c>
      <c r="E182" s="23" t="s">
        <v>112</v>
      </c>
      <c r="F182" s="23" t="s">
        <v>38</v>
      </c>
      <c r="G182" s="23" t="s">
        <v>40</v>
      </c>
      <c r="H182" s="25">
        <v>4.68</v>
      </c>
      <c r="I182" s="43">
        <v>700000</v>
      </c>
      <c r="J182" s="26">
        <f t="shared" si="9"/>
        <v>3276000</v>
      </c>
      <c r="K182" s="22"/>
      <c r="L182" s="25"/>
      <c r="M182" s="22" t="s">
        <v>194</v>
      </c>
      <c r="N182" s="22" t="s">
        <v>192</v>
      </c>
      <c r="O182" s="56">
        <f t="shared" si="8"/>
        <v>3276000</v>
      </c>
      <c r="P182" s="22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r="183" spans="1:36" s="6" customFormat="1" ht="23.5" customHeight="1" thickBot="1">
      <c r="A183" s="81">
        <v>182</v>
      </c>
      <c r="B183" s="22">
        <v>10</v>
      </c>
      <c r="C183" s="22" t="s">
        <v>155</v>
      </c>
      <c r="D183" s="24" t="s">
        <v>28</v>
      </c>
      <c r="E183" s="23" t="s">
        <v>112</v>
      </c>
      <c r="F183" s="23" t="s">
        <v>38</v>
      </c>
      <c r="G183" s="23" t="s">
        <v>41</v>
      </c>
      <c r="H183" s="25">
        <v>9.36</v>
      </c>
      <c r="I183" s="43">
        <v>40000000</v>
      </c>
      <c r="J183" s="26">
        <f>(40000000/88.13)*H183</f>
        <v>4248269.6017247243</v>
      </c>
      <c r="K183" s="22"/>
      <c r="L183" s="25"/>
      <c r="M183" s="22" t="s">
        <v>194</v>
      </c>
      <c r="N183" s="22" t="s">
        <v>192</v>
      </c>
      <c r="O183" s="56">
        <f t="shared" si="8"/>
        <v>4248269.6017247243</v>
      </c>
      <c r="P183" s="22"/>
      <c r="Q183" s="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r="184" spans="1:36" s="6" customFormat="1" ht="23.5" customHeight="1" thickBot="1">
      <c r="A184" s="22">
        <v>183</v>
      </c>
      <c r="B184" s="22">
        <v>10</v>
      </c>
      <c r="C184" s="22" t="s">
        <v>155</v>
      </c>
      <c r="D184" s="24" t="s">
        <v>30</v>
      </c>
      <c r="E184" s="23" t="s">
        <v>112</v>
      </c>
      <c r="F184" s="23" t="s">
        <v>38</v>
      </c>
      <c r="G184" s="23" t="s">
        <v>40</v>
      </c>
      <c r="H184" s="25">
        <v>11.36</v>
      </c>
      <c r="I184" s="43">
        <v>700000</v>
      </c>
      <c r="J184" s="26">
        <f>I184*H184</f>
        <v>7952000</v>
      </c>
      <c r="K184" s="22"/>
      <c r="L184" s="25"/>
      <c r="M184" s="22" t="s">
        <v>194</v>
      </c>
      <c r="N184" s="22" t="s">
        <v>192</v>
      </c>
      <c r="O184" s="56">
        <f t="shared" si="8"/>
        <v>7952000</v>
      </c>
      <c r="P184" s="22"/>
      <c r="Q184" s="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 s="6" customFormat="1" ht="23.5" customHeight="1" thickBot="1">
      <c r="A185" s="81">
        <v>184</v>
      </c>
      <c r="B185" s="22">
        <v>10</v>
      </c>
      <c r="C185" s="22" t="s">
        <v>155</v>
      </c>
      <c r="D185" s="24" t="s">
        <v>31</v>
      </c>
      <c r="E185" s="23" t="s">
        <v>112</v>
      </c>
      <c r="F185" s="23" t="s">
        <v>37</v>
      </c>
      <c r="G185" s="23" t="s">
        <v>40</v>
      </c>
      <c r="H185" s="25">
        <v>1.1666700000000001</v>
      </c>
      <c r="I185" s="43">
        <v>50000</v>
      </c>
      <c r="J185" s="26">
        <f>I185*H185</f>
        <v>58333.500000000007</v>
      </c>
      <c r="K185" s="22"/>
      <c r="L185" s="25"/>
      <c r="M185" s="22" t="s">
        <v>194</v>
      </c>
      <c r="N185" s="22" t="s">
        <v>192</v>
      </c>
      <c r="O185" s="56">
        <f t="shared" si="8"/>
        <v>58333.500000000007</v>
      </c>
      <c r="P185" s="22" t="s">
        <v>34</v>
      </c>
      <c r="Q185" s="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 s="6" customFormat="1" ht="23.5" customHeight="1" thickBot="1">
      <c r="A186" s="81">
        <v>185</v>
      </c>
      <c r="B186" s="22">
        <v>10</v>
      </c>
      <c r="C186" s="23" t="s">
        <v>156</v>
      </c>
      <c r="D186" s="24" t="s">
        <v>109</v>
      </c>
      <c r="E186" s="23" t="s">
        <v>112</v>
      </c>
      <c r="F186" s="23" t="s">
        <v>38</v>
      </c>
      <c r="G186" s="23" t="s">
        <v>40</v>
      </c>
      <c r="H186" s="25">
        <v>2</v>
      </c>
      <c r="I186" s="22">
        <v>160000</v>
      </c>
      <c r="J186" s="57">
        <f>I186*H186</f>
        <v>320000</v>
      </c>
      <c r="K186" s="22"/>
      <c r="L186" s="25"/>
      <c r="M186" s="22" t="s">
        <v>194</v>
      </c>
      <c r="N186" s="22" t="s">
        <v>192</v>
      </c>
      <c r="O186" s="56">
        <f t="shared" si="8"/>
        <v>320000</v>
      </c>
      <c r="P186" s="22"/>
      <c r="Q186" s="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 s="6" customFormat="1" ht="23.5" customHeight="1" thickBot="1">
      <c r="A187" s="81">
        <v>186</v>
      </c>
      <c r="B187" s="22">
        <v>10</v>
      </c>
      <c r="C187" s="23" t="s">
        <v>156</v>
      </c>
      <c r="D187" s="24" t="s">
        <v>109</v>
      </c>
      <c r="E187" s="23" t="s">
        <v>112</v>
      </c>
      <c r="F187" s="23" t="s">
        <v>37</v>
      </c>
      <c r="G187" s="23" t="s">
        <v>40</v>
      </c>
      <c r="H187" s="25">
        <v>2</v>
      </c>
      <c r="I187" s="22">
        <v>50000</v>
      </c>
      <c r="J187" s="57">
        <f t="shared" ref="J187:J189" si="10">I187*H187</f>
        <v>100000</v>
      </c>
      <c r="K187" s="22"/>
      <c r="L187" s="25"/>
      <c r="M187" s="22" t="s">
        <v>194</v>
      </c>
      <c r="N187" s="22" t="s">
        <v>192</v>
      </c>
      <c r="O187" s="56">
        <f t="shared" si="8"/>
        <v>100000</v>
      </c>
      <c r="P187" s="22"/>
      <c r="Q187" s="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 s="6" customFormat="1" ht="23.5" customHeight="1" thickBot="1">
      <c r="A188" s="22">
        <v>187</v>
      </c>
      <c r="B188" s="22">
        <v>10</v>
      </c>
      <c r="C188" s="23" t="s">
        <v>156</v>
      </c>
      <c r="D188" s="24" t="s">
        <v>110</v>
      </c>
      <c r="E188" s="23" t="s">
        <v>112</v>
      </c>
      <c r="F188" s="23" t="s">
        <v>38</v>
      </c>
      <c r="G188" s="23" t="s">
        <v>40</v>
      </c>
      <c r="H188" s="25">
        <v>7.35</v>
      </c>
      <c r="I188" s="22">
        <v>160000</v>
      </c>
      <c r="J188" s="57">
        <f t="shared" si="10"/>
        <v>1176000</v>
      </c>
      <c r="K188" s="22"/>
      <c r="L188" s="25"/>
      <c r="M188" s="22" t="s">
        <v>194</v>
      </c>
      <c r="N188" s="22" t="s">
        <v>192</v>
      </c>
      <c r="O188" s="56">
        <f t="shared" si="8"/>
        <v>1176000</v>
      </c>
      <c r="P188" s="22"/>
      <c r="Q188" s="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 s="6" customFormat="1" ht="23.5" customHeight="1" thickBot="1">
      <c r="A189" s="81">
        <v>188</v>
      </c>
      <c r="B189" s="22">
        <v>10</v>
      </c>
      <c r="C189" s="23" t="s">
        <v>156</v>
      </c>
      <c r="D189" s="24" t="s">
        <v>110</v>
      </c>
      <c r="E189" s="23" t="s">
        <v>112</v>
      </c>
      <c r="F189" s="23" t="s">
        <v>37</v>
      </c>
      <c r="G189" s="23" t="s">
        <v>40</v>
      </c>
      <c r="H189" s="25">
        <v>6.8333000000000004</v>
      </c>
      <c r="I189" s="22">
        <v>50000</v>
      </c>
      <c r="J189" s="57">
        <f t="shared" si="10"/>
        <v>341665</v>
      </c>
      <c r="K189" s="22"/>
      <c r="L189" s="25"/>
      <c r="M189" s="22" t="s">
        <v>194</v>
      </c>
      <c r="N189" s="22" t="s">
        <v>192</v>
      </c>
      <c r="O189" s="56">
        <f t="shared" si="8"/>
        <v>341665</v>
      </c>
      <c r="P189" s="28"/>
      <c r="Q189" s="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 s="6" customFormat="1" ht="23.5" customHeight="1" thickBot="1">
      <c r="A190" s="81">
        <v>189</v>
      </c>
      <c r="B190" s="22">
        <v>10</v>
      </c>
      <c r="C190" s="23" t="s">
        <v>157</v>
      </c>
      <c r="D190" s="24" t="s">
        <v>147</v>
      </c>
      <c r="E190" s="23" t="s">
        <v>113</v>
      </c>
      <c r="F190" s="23"/>
      <c r="G190" s="23"/>
      <c r="H190" s="25"/>
      <c r="I190" s="54">
        <v>1124000</v>
      </c>
      <c r="J190" s="26">
        <v>1124000</v>
      </c>
      <c r="K190" s="22"/>
      <c r="L190" s="25"/>
      <c r="M190" s="22" t="s">
        <v>196</v>
      </c>
      <c r="N190" s="22" t="s">
        <v>192</v>
      </c>
      <c r="O190" s="56">
        <f>L190+J190</f>
        <v>1124000</v>
      </c>
      <c r="P190" s="22"/>
      <c r="Q190" s="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</row>
    <row r="191" spans="1:36" s="6" customFormat="1" ht="23.5" customHeight="1" thickBot="1">
      <c r="A191" s="81">
        <v>190</v>
      </c>
      <c r="B191" s="22">
        <v>10</v>
      </c>
      <c r="C191" s="23" t="s">
        <v>157</v>
      </c>
      <c r="D191" s="24" t="s">
        <v>125</v>
      </c>
      <c r="E191" s="23" t="s">
        <v>113</v>
      </c>
      <c r="F191" s="23"/>
      <c r="G191" s="23"/>
      <c r="H191" s="25"/>
      <c r="I191" s="54">
        <v>233000</v>
      </c>
      <c r="J191" s="26">
        <v>233000</v>
      </c>
      <c r="K191" s="22"/>
      <c r="L191" s="25"/>
      <c r="M191" s="22" t="s">
        <v>195</v>
      </c>
      <c r="N191" s="22" t="s">
        <v>192</v>
      </c>
      <c r="O191" s="56">
        <f>J191</f>
        <v>233000</v>
      </c>
      <c r="P191" s="22"/>
      <c r="Q191" s="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</row>
    <row r="192" spans="1:36" s="6" customFormat="1" ht="23.5" customHeight="1" thickBot="1">
      <c r="A192" s="22">
        <v>191</v>
      </c>
      <c r="B192" s="22">
        <v>10</v>
      </c>
      <c r="C192" s="23" t="s">
        <v>157</v>
      </c>
      <c r="D192" s="24" t="s">
        <v>126</v>
      </c>
      <c r="E192" s="105" t="s">
        <v>331</v>
      </c>
      <c r="F192" s="23"/>
      <c r="G192" s="23"/>
      <c r="H192" s="25"/>
      <c r="I192" s="54">
        <v>24850000</v>
      </c>
      <c r="J192" s="26">
        <v>24850000</v>
      </c>
      <c r="K192" s="22"/>
      <c r="L192" s="25"/>
      <c r="M192" s="22" t="s">
        <v>195</v>
      </c>
      <c r="N192" s="22" t="s">
        <v>192</v>
      </c>
      <c r="O192" s="56">
        <f t="shared" ref="O192:O200" si="11">J192</f>
        <v>24850000</v>
      </c>
      <c r="P192" s="22"/>
      <c r="Q192" s="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</row>
    <row r="193" spans="1:36" s="6" customFormat="1" ht="23.5" customHeight="1" thickBot="1">
      <c r="A193" s="81">
        <v>192</v>
      </c>
      <c r="B193" s="22">
        <v>10</v>
      </c>
      <c r="C193" s="23" t="s">
        <v>157</v>
      </c>
      <c r="D193" s="24" t="s">
        <v>127</v>
      </c>
      <c r="E193" s="105" t="s">
        <v>331</v>
      </c>
      <c r="F193" s="23"/>
      <c r="G193" s="23"/>
      <c r="H193" s="27"/>
      <c r="I193" s="54">
        <v>300000</v>
      </c>
      <c r="J193" s="26">
        <v>300000</v>
      </c>
      <c r="K193" s="22"/>
      <c r="L193" s="25"/>
      <c r="M193" s="22" t="s">
        <v>197</v>
      </c>
      <c r="N193" s="22" t="s">
        <v>192</v>
      </c>
      <c r="O193" s="56">
        <f t="shared" si="11"/>
        <v>300000</v>
      </c>
      <c r="P193" s="22"/>
      <c r="Q193" s="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</row>
    <row r="194" spans="1:36" s="6" customFormat="1" ht="23.5" customHeight="1" thickBot="1">
      <c r="A194" s="81">
        <v>193</v>
      </c>
      <c r="B194" s="22">
        <v>10</v>
      </c>
      <c r="C194" s="23" t="s">
        <v>157</v>
      </c>
      <c r="D194" s="24" t="s">
        <v>128</v>
      </c>
      <c r="E194" s="23" t="s">
        <v>113</v>
      </c>
      <c r="F194" s="23"/>
      <c r="G194" s="23"/>
      <c r="H194" s="27"/>
      <c r="I194" s="54">
        <v>580000</v>
      </c>
      <c r="J194" s="26">
        <v>580000</v>
      </c>
      <c r="K194" s="22"/>
      <c r="L194" s="25"/>
      <c r="M194" s="22" t="s">
        <v>195</v>
      </c>
      <c r="N194" s="22" t="s">
        <v>192</v>
      </c>
      <c r="O194" s="56">
        <f t="shared" si="11"/>
        <v>580000</v>
      </c>
      <c r="P194" s="22"/>
      <c r="Q194" s="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</row>
    <row r="195" spans="1:36" s="6" customFormat="1" ht="23.5" customHeight="1" thickBot="1">
      <c r="A195" s="81">
        <v>194</v>
      </c>
      <c r="B195" s="22">
        <v>10</v>
      </c>
      <c r="C195" s="23" t="s">
        <v>157</v>
      </c>
      <c r="D195" s="24" t="s">
        <v>129</v>
      </c>
      <c r="E195" s="23" t="s">
        <v>113</v>
      </c>
      <c r="F195" s="23"/>
      <c r="G195" s="23"/>
      <c r="H195" s="27"/>
      <c r="I195" s="54">
        <v>8977500</v>
      </c>
      <c r="J195" s="26">
        <v>8977500</v>
      </c>
      <c r="K195" s="22"/>
      <c r="L195" s="25"/>
      <c r="M195" s="22" t="s">
        <v>197</v>
      </c>
      <c r="N195" s="22" t="s">
        <v>192</v>
      </c>
      <c r="O195" s="56">
        <f t="shared" si="11"/>
        <v>8977500</v>
      </c>
      <c r="P195" s="22"/>
      <c r="Q195" s="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</row>
    <row r="196" spans="1:36" s="6" customFormat="1" ht="23.5" customHeight="1" thickBot="1">
      <c r="A196" s="22">
        <v>195</v>
      </c>
      <c r="B196" s="22">
        <v>10</v>
      </c>
      <c r="C196" s="23" t="s">
        <v>157</v>
      </c>
      <c r="D196" s="24" t="s">
        <v>131</v>
      </c>
      <c r="E196" s="23" t="s">
        <v>113</v>
      </c>
      <c r="F196" s="23"/>
      <c r="G196" s="23"/>
      <c r="H196" s="27"/>
      <c r="I196" s="54">
        <v>1960000</v>
      </c>
      <c r="J196" s="26">
        <v>1960000</v>
      </c>
      <c r="K196" s="22"/>
      <c r="L196" s="25"/>
      <c r="M196" s="22" t="s">
        <v>197</v>
      </c>
      <c r="N196" s="22" t="s">
        <v>192</v>
      </c>
      <c r="O196" s="56">
        <f t="shared" si="11"/>
        <v>1960000</v>
      </c>
      <c r="P196" s="22"/>
      <c r="Q196" s="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 s="6" customFormat="1" ht="23.5" customHeight="1" thickBot="1">
      <c r="A197" s="81">
        <v>196</v>
      </c>
      <c r="B197" s="22">
        <v>10</v>
      </c>
      <c r="C197" s="23" t="s">
        <v>157</v>
      </c>
      <c r="D197" s="24" t="s">
        <v>149</v>
      </c>
      <c r="E197" s="23" t="s">
        <v>113</v>
      </c>
      <c r="F197" s="23"/>
      <c r="G197" s="23"/>
      <c r="H197" s="27"/>
      <c r="I197" s="54">
        <v>272000</v>
      </c>
      <c r="J197" s="26">
        <v>272000</v>
      </c>
      <c r="K197" s="22"/>
      <c r="L197" s="25"/>
      <c r="M197" s="22" t="s">
        <v>197</v>
      </c>
      <c r="N197" s="22" t="s">
        <v>192</v>
      </c>
      <c r="O197" s="56">
        <f t="shared" si="11"/>
        <v>272000</v>
      </c>
      <c r="P197" s="22"/>
      <c r="Q197" s="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 s="6" customFormat="1" ht="23.5" customHeight="1" thickBot="1">
      <c r="A198" s="81">
        <v>197</v>
      </c>
      <c r="B198" s="22">
        <v>10</v>
      </c>
      <c r="C198" s="23" t="s">
        <v>157</v>
      </c>
      <c r="D198" s="24" t="s">
        <v>135</v>
      </c>
      <c r="E198" s="23" t="s">
        <v>113</v>
      </c>
      <c r="F198" s="23"/>
      <c r="G198" s="23"/>
      <c r="H198" s="27"/>
      <c r="I198" s="54">
        <v>211000</v>
      </c>
      <c r="J198" s="26">
        <v>211000</v>
      </c>
      <c r="K198" s="22"/>
      <c r="L198" s="25"/>
      <c r="M198" s="22" t="s">
        <v>196</v>
      </c>
      <c r="N198" s="22" t="s">
        <v>192</v>
      </c>
      <c r="O198" s="56">
        <f t="shared" si="11"/>
        <v>211000</v>
      </c>
      <c r="P198" s="22"/>
      <c r="Q198" s="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 s="6" customFormat="1" ht="23.5" customHeight="1" thickBot="1">
      <c r="A199" s="81">
        <v>198</v>
      </c>
      <c r="B199" s="22">
        <v>10</v>
      </c>
      <c r="C199" s="23" t="s">
        <v>157</v>
      </c>
      <c r="D199" s="24" t="s">
        <v>134</v>
      </c>
      <c r="E199" s="23" t="s">
        <v>113</v>
      </c>
      <c r="F199" s="23"/>
      <c r="G199" s="23"/>
      <c r="H199" s="27"/>
      <c r="I199" s="54">
        <v>54000</v>
      </c>
      <c r="J199" s="26">
        <v>54000</v>
      </c>
      <c r="K199" s="22"/>
      <c r="L199" s="25"/>
      <c r="M199" s="22" t="s">
        <v>195</v>
      </c>
      <c r="N199" s="22" t="s">
        <v>192</v>
      </c>
      <c r="O199" s="56">
        <f t="shared" si="11"/>
        <v>54000</v>
      </c>
      <c r="P199" s="22"/>
      <c r="Q199" s="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 s="6" customFormat="1" ht="23.5" customHeight="1" thickBot="1">
      <c r="A200" s="22">
        <v>199</v>
      </c>
      <c r="B200" s="22">
        <v>10</v>
      </c>
      <c r="C200" s="23" t="s">
        <v>157</v>
      </c>
      <c r="D200" s="24" t="s">
        <v>130</v>
      </c>
      <c r="E200" s="23" t="s">
        <v>113</v>
      </c>
      <c r="F200" s="23"/>
      <c r="G200" s="23"/>
      <c r="H200" s="27"/>
      <c r="I200" s="54">
        <v>378000</v>
      </c>
      <c r="J200" s="26">
        <v>378000</v>
      </c>
      <c r="K200" s="22"/>
      <c r="L200" s="25"/>
      <c r="M200" s="22" t="s">
        <v>196</v>
      </c>
      <c r="N200" s="22" t="s">
        <v>192</v>
      </c>
      <c r="O200" s="56">
        <f t="shared" si="11"/>
        <v>378000</v>
      </c>
      <c r="P200" s="22"/>
      <c r="Q200" s="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 s="6" customFormat="1" ht="23.5" customHeight="1" thickBot="1">
      <c r="A201" s="81">
        <v>200</v>
      </c>
      <c r="B201" s="22">
        <v>10</v>
      </c>
      <c r="C201" s="23" t="s">
        <v>157</v>
      </c>
      <c r="D201" s="24" t="s">
        <v>122</v>
      </c>
      <c r="E201" s="23" t="s">
        <v>113</v>
      </c>
      <c r="F201" s="23"/>
      <c r="G201" s="23"/>
      <c r="H201" s="25"/>
      <c r="I201" s="54">
        <v>5793500</v>
      </c>
      <c r="J201" s="26">
        <v>5793500</v>
      </c>
      <c r="K201" s="22"/>
      <c r="L201" s="25"/>
      <c r="M201" s="22" t="s">
        <v>196</v>
      </c>
      <c r="N201" s="22" t="s">
        <v>192</v>
      </c>
      <c r="O201" s="56">
        <f>J201</f>
        <v>5793500</v>
      </c>
      <c r="P201" s="22"/>
      <c r="Q201" s="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 s="6" customFormat="1" ht="23.5" customHeight="1" thickBot="1">
      <c r="A202" s="81">
        <v>201</v>
      </c>
      <c r="B202" s="22">
        <v>10</v>
      </c>
      <c r="C202" s="23" t="s">
        <v>157</v>
      </c>
      <c r="D202" s="24" t="s">
        <v>123</v>
      </c>
      <c r="E202" s="23" t="s">
        <v>113</v>
      </c>
      <c r="F202" s="23"/>
      <c r="G202" s="23"/>
      <c r="H202" s="25"/>
      <c r="I202" s="54">
        <v>173000</v>
      </c>
      <c r="J202" s="26">
        <v>173000</v>
      </c>
      <c r="K202" s="22"/>
      <c r="L202" s="25"/>
      <c r="M202" s="22" t="s">
        <v>196</v>
      </c>
      <c r="N202" s="22" t="s">
        <v>192</v>
      </c>
      <c r="O202" s="56">
        <f>J202</f>
        <v>173000</v>
      </c>
      <c r="P202" s="22"/>
      <c r="Q202" s="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</row>
    <row r="203" spans="1:36" s="6" customFormat="1" ht="23.5" customHeight="1" thickBot="1">
      <c r="A203" s="81">
        <v>202</v>
      </c>
      <c r="B203" s="22">
        <v>10</v>
      </c>
      <c r="C203" s="23" t="s">
        <v>157</v>
      </c>
      <c r="D203" s="24" t="s">
        <v>124</v>
      </c>
      <c r="E203" s="105" t="s">
        <v>331</v>
      </c>
      <c r="F203" s="23"/>
      <c r="G203" s="23"/>
      <c r="H203" s="25"/>
      <c r="I203" s="54">
        <v>3363000</v>
      </c>
      <c r="J203" s="26">
        <v>3363000</v>
      </c>
      <c r="K203" s="22"/>
      <c r="L203" s="25"/>
      <c r="M203" s="22" t="s">
        <v>195</v>
      </c>
      <c r="N203" s="22" t="s">
        <v>192</v>
      </c>
      <c r="O203" s="56">
        <f>J203</f>
        <v>3363000</v>
      </c>
      <c r="P203" s="22"/>
      <c r="Q203" s="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</row>
    <row r="204" spans="1:36" s="6" customFormat="1" ht="23.5" customHeight="1" thickBot="1">
      <c r="A204" s="22">
        <v>203</v>
      </c>
      <c r="B204" s="22">
        <v>10</v>
      </c>
      <c r="C204" s="23" t="s">
        <v>156</v>
      </c>
      <c r="D204" s="24" t="s">
        <v>114</v>
      </c>
      <c r="E204" s="105" t="s">
        <v>331</v>
      </c>
      <c r="F204" s="23"/>
      <c r="G204" s="23"/>
      <c r="H204" s="25"/>
      <c r="I204" s="22">
        <v>20985000</v>
      </c>
      <c r="J204" s="57">
        <v>20985000</v>
      </c>
      <c r="K204" s="22"/>
      <c r="L204" s="25"/>
      <c r="M204" s="22" t="s">
        <v>195</v>
      </c>
      <c r="N204" s="22" t="s">
        <v>192</v>
      </c>
      <c r="O204" s="56">
        <f>J204</f>
        <v>20985000</v>
      </c>
      <c r="P204" s="28"/>
      <c r="Q204" s="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</row>
    <row r="205" spans="1:36" s="6" customFormat="1" ht="23.5" customHeight="1" thickBot="1">
      <c r="A205" s="81">
        <v>204</v>
      </c>
      <c r="B205" s="22">
        <v>10</v>
      </c>
      <c r="C205" s="22" t="s">
        <v>155</v>
      </c>
      <c r="D205" s="24" t="s">
        <v>115</v>
      </c>
      <c r="E205" s="105" t="s">
        <v>331</v>
      </c>
      <c r="F205" s="23"/>
      <c r="G205" s="23"/>
      <c r="H205" s="25"/>
      <c r="I205" s="54">
        <v>17885000</v>
      </c>
      <c r="J205" s="26">
        <v>17885000</v>
      </c>
      <c r="K205" s="22"/>
      <c r="L205" s="25"/>
      <c r="M205" s="22" t="s">
        <v>195</v>
      </c>
      <c r="N205" s="22" t="s">
        <v>192</v>
      </c>
      <c r="O205" s="56">
        <f t="shared" ref="O205:O206" si="12">L205+J205</f>
        <v>17885000</v>
      </c>
      <c r="P205" s="22"/>
      <c r="Q205" s="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</row>
    <row r="206" spans="1:36" s="6" customFormat="1" ht="23.5" customHeight="1" thickBot="1">
      <c r="A206" s="81">
        <v>205</v>
      </c>
      <c r="B206" s="22">
        <v>10</v>
      </c>
      <c r="C206" s="22" t="s">
        <v>155</v>
      </c>
      <c r="D206" s="24" t="s">
        <v>146</v>
      </c>
      <c r="E206" s="105" t="s">
        <v>331</v>
      </c>
      <c r="F206" s="23"/>
      <c r="G206" s="23"/>
      <c r="H206" s="25"/>
      <c r="I206" s="54">
        <v>350000</v>
      </c>
      <c r="J206" s="26">
        <v>350000</v>
      </c>
      <c r="K206" s="22"/>
      <c r="L206" s="25"/>
      <c r="M206" s="22" t="s">
        <v>197</v>
      </c>
      <c r="N206" s="22" t="s">
        <v>192</v>
      </c>
      <c r="O206" s="56">
        <f t="shared" si="12"/>
        <v>350000</v>
      </c>
      <c r="P206" s="22"/>
      <c r="Q206" s="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</row>
    <row r="207" spans="1:36" s="6" customFormat="1" ht="23.5" customHeight="1" thickBot="1">
      <c r="A207" s="81">
        <v>206</v>
      </c>
      <c r="B207" s="22">
        <v>10</v>
      </c>
      <c r="C207" s="22" t="s">
        <v>155</v>
      </c>
      <c r="D207" s="24" t="s">
        <v>133</v>
      </c>
      <c r="E207" s="105" t="s">
        <v>331</v>
      </c>
      <c r="F207" s="23"/>
      <c r="G207" s="23"/>
      <c r="H207" s="25"/>
      <c r="I207" s="54">
        <v>482000</v>
      </c>
      <c r="J207" s="26">
        <v>482000</v>
      </c>
      <c r="K207" s="22"/>
      <c r="L207" s="25"/>
      <c r="M207" s="22" t="s">
        <v>195</v>
      </c>
      <c r="N207" s="22" t="s">
        <v>192</v>
      </c>
      <c r="O207" s="56">
        <f>J207</f>
        <v>482000</v>
      </c>
      <c r="P207" s="22"/>
      <c r="Q207" s="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</row>
    <row r="208" spans="1:36" s="6" customFormat="1" ht="23.5" customHeight="1" thickBot="1">
      <c r="A208" s="22">
        <v>207</v>
      </c>
      <c r="B208" s="22">
        <v>10</v>
      </c>
      <c r="C208" s="22" t="s">
        <v>155</v>
      </c>
      <c r="D208" s="24" t="s">
        <v>116</v>
      </c>
      <c r="E208" s="23" t="s">
        <v>113</v>
      </c>
      <c r="F208" s="23"/>
      <c r="G208" s="23"/>
      <c r="H208" s="25"/>
      <c r="I208" s="54">
        <v>315000</v>
      </c>
      <c r="J208" s="26">
        <v>315000</v>
      </c>
      <c r="K208" s="22"/>
      <c r="L208" s="25"/>
      <c r="M208" s="22" t="s">
        <v>196</v>
      </c>
      <c r="N208" s="22" t="s">
        <v>192</v>
      </c>
      <c r="O208" s="56">
        <f>J208</f>
        <v>315000</v>
      </c>
      <c r="P208" s="22"/>
      <c r="Q208" s="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 s="52" customFormat="1" ht="23.5" customHeight="1" thickBot="1">
      <c r="A209" s="81">
        <v>208</v>
      </c>
      <c r="B209" s="22">
        <v>10</v>
      </c>
      <c r="C209" s="22" t="s">
        <v>155</v>
      </c>
      <c r="D209" s="29" t="s">
        <v>17</v>
      </c>
      <c r="E209" s="23" t="s">
        <v>112</v>
      </c>
      <c r="F209" s="23" t="s">
        <v>36</v>
      </c>
      <c r="G209" s="23" t="s">
        <v>41</v>
      </c>
      <c r="H209" s="25">
        <v>96</v>
      </c>
      <c r="I209" s="58">
        <v>5000000</v>
      </c>
      <c r="J209" s="26">
        <f>I209</f>
        <v>5000000</v>
      </c>
      <c r="K209" s="22"/>
      <c r="L209" s="22"/>
      <c r="M209" s="22" t="s">
        <v>194</v>
      </c>
      <c r="N209" s="22" t="s">
        <v>192</v>
      </c>
      <c r="O209" s="56">
        <f t="shared" ref="O209:O210" si="13">L209+J209</f>
        <v>5000000</v>
      </c>
      <c r="P209" s="22"/>
      <c r="Q209" s="50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</row>
    <row r="210" spans="1:36" s="52" customFormat="1" ht="23.5" customHeight="1" thickBot="1">
      <c r="A210" s="81">
        <v>209</v>
      </c>
      <c r="B210" s="22">
        <v>10</v>
      </c>
      <c r="C210" s="22" t="s">
        <v>155</v>
      </c>
      <c r="D210" s="29" t="s">
        <v>150</v>
      </c>
      <c r="E210" s="23" t="s">
        <v>112</v>
      </c>
      <c r="F210" s="23" t="s">
        <v>36</v>
      </c>
      <c r="G210" s="23" t="s">
        <v>41</v>
      </c>
      <c r="H210" s="25">
        <v>192</v>
      </c>
      <c r="I210" s="58">
        <v>8000000</v>
      </c>
      <c r="J210" s="26">
        <f>I210</f>
        <v>8000000</v>
      </c>
      <c r="K210" s="22"/>
      <c r="L210" s="22"/>
      <c r="M210" s="22" t="s">
        <v>194</v>
      </c>
      <c r="N210" s="22" t="s">
        <v>192</v>
      </c>
      <c r="O210" s="56">
        <f t="shared" si="13"/>
        <v>8000000</v>
      </c>
      <c r="P210" s="22"/>
      <c r="Q210" s="50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</row>
    <row r="211" spans="1:36" s="48" customFormat="1" ht="23.5" customHeight="1" thickBot="1">
      <c r="A211" s="81">
        <v>210</v>
      </c>
      <c r="B211" s="22">
        <v>10</v>
      </c>
      <c r="C211" s="22" t="s">
        <v>155</v>
      </c>
      <c r="D211" s="49" t="s">
        <v>143</v>
      </c>
      <c r="E211" s="45" t="s">
        <v>113</v>
      </c>
      <c r="F211" s="45"/>
      <c r="G211" s="45"/>
      <c r="H211" s="45"/>
      <c r="I211" s="59">
        <v>240000</v>
      </c>
      <c r="J211" s="44">
        <v>240000</v>
      </c>
      <c r="K211" s="45"/>
      <c r="L211" s="45"/>
      <c r="M211" s="22" t="s">
        <v>196</v>
      </c>
      <c r="N211" s="22" t="s">
        <v>192</v>
      </c>
      <c r="O211" s="56">
        <f t="shared" ref="O211:O216" si="14">J211</f>
        <v>240000</v>
      </c>
      <c r="P211" s="45"/>
      <c r="Q211" s="46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</row>
    <row r="212" spans="1:36" s="6" customFormat="1" ht="23.5" customHeight="1" thickBot="1">
      <c r="A212" s="22">
        <v>211</v>
      </c>
      <c r="B212" s="22">
        <v>10</v>
      </c>
      <c r="C212" s="22" t="s">
        <v>155</v>
      </c>
      <c r="D212" s="24" t="s">
        <v>137</v>
      </c>
      <c r="E212" s="45" t="s">
        <v>113</v>
      </c>
      <c r="F212" s="23"/>
      <c r="G212" s="23"/>
      <c r="H212" s="25"/>
      <c r="I212" s="60">
        <v>789900</v>
      </c>
      <c r="J212" s="26">
        <v>789900</v>
      </c>
      <c r="K212" s="22"/>
      <c r="L212" s="25"/>
      <c r="M212" s="22" t="s">
        <v>196</v>
      </c>
      <c r="N212" s="22" t="s">
        <v>192</v>
      </c>
      <c r="O212" s="56">
        <f t="shared" si="14"/>
        <v>789900</v>
      </c>
      <c r="P212" s="22"/>
      <c r="Q212" s="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 s="6" customFormat="1" ht="23.5" customHeight="1" thickBot="1">
      <c r="A213" s="81">
        <v>212</v>
      </c>
      <c r="B213" s="22">
        <v>10</v>
      </c>
      <c r="C213" s="22" t="s">
        <v>181</v>
      </c>
      <c r="D213" s="24" t="s">
        <v>139</v>
      </c>
      <c r="E213" s="45" t="s">
        <v>113</v>
      </c>
      <c r="F213" s="23"/>
      <c r="G213" s="23"/>
      <c r="H213" s="25"/>
      <c r="I213" s="60">
        <v>15000000</v>
      </c>
      <c r="J213" s="26">
        <v>15000000</v>
      </c>
      <c r="K213" s="22"/>
      <c r="L213" s="25"/>
      <c r="M213" s="22" t="s">
        <v>195</v>
      </c>
      <c r="N213" s="22" t="s">
        <v>192</v>
      </c>
      <c r="O213" s="56">
        <f t="shared" si="14"/>
        <v>15000000</v>
      </c>
      <c r="P213" s="22"/>
      <c r="Q213" s="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 s="6" customFormat="1" ht="23.5" customHeight="1" thickBot="1">
      <c r="A214" s="81">
        <v>213</v>
      </c>
      <c r="B214" s="22">
        <v>10</v>
      </c>
      <c r="C214" s="22" t="s">
        <v>181</v>
      </c>
      <c r="D214" s="29" t="s">
        <v>140</v>
      </c>
      <c r="E214" s="23" t="s">
        <v>171</v>
      </c>
      <c r="F214" s="22"/>
      <c r="G214" s="23"/>
      <c r="H214" s="25"/>
      <c r="I214" s="60">
        <v>6500000</v>
      </c>
      <c r="J214" s="26">
        <v>6500000</v>
      </c>
      <c r="K214" s="22"/>
      <c r="L214" s="31"/>
      <c r="M214" s="22" t="s">
        <v>195</v>
      </c>
      <c r="N214" s="22" t="s">
        <v>192</v>
      </c>
      <c r="O214" s="56">
        <f t="shared" si="14"/>
        <v>6500000</v>
      </c>
      <c r="P214" s="28"/>
      <c r="Q214" s="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</row>
    <row r="215" spans="1:36" s="6" customFormat="1" ht="23.5" customHeight="1" thickBot="1">
      <c r="A215" s="81">
        <v>214</v>
      </c>
      <c r="B215" s="22">
        <v>10</v>
      </c>
      <c r="C215" s="22" t="s">
        <v>181</v>
      </c>
      <c r="D215" s="29" t="s">
        <v>142</v>
      </c>
      <c r="E215" s="23" t="s">
        <v>144</v>
      </c>
      <c r="F215" s="22"/>
      <c r="G215" s="23"/>
      <c r="H215" s="25"/>
      <c r="I215" s="60">
        <v>9147600</v>
      </c>
      <c r="J215" s="26">
        <v>9147600</v>
      </c>
      <c r="K215" s="22"/>
      <c r="L215" s="31"/>
      <c r="M215" s="22" t="s">
        <v>198</v>
      </c>
      <c r="N215" s="22" t="s">
        <v>192</v>
      </c>
      <c r="O215" s="56">
        <f t="shared" si="14"/>
        <v>9147600</v>
      </c>
      <c r="P215" s="28"/>
      <c r="Q215" s="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</row>
    <row r="216" spans="1:36" s="6" customFormat="1" ht="23.5" customHeight="1" thickBot="1">
      <c r="A216" s="22">
        <v>215</v>
      </c>
      <c r="B216" s="22">
        <v>10</v>
      </c>
      <c r="C216" s="22" t="s">
        <v>181</v>
      </c>
      <c r="D216" s="29" t="s">
        <v>145</v>
      </c>
      <c r="E216" s="23" t="s">
        <v>113</v>
      </c>
      <c r="F216" s="22"/>
      <c r="G216" s="23"/>
      <c r="H216" s="25"/>
      <c r="I216" s="60">
        <v>3485000</v>
      </c>
      <c r="J216" s="26">
        <v>3485000</v>
      </c>
      <c r="K216" s="22"/>
      <c r="L216" s="31"/>
      <c r="M216" s="22" t="s">
        <v>195</v>
      </c>
      <c r="N216" s="22" t="s">
        <v>192</v>
      </c>
      <c r="O216" s="56">
        <f t="shared" si="14"/>
        <v>3485000</v>
      </c>
      <c r="P216" s="28"/>
      <c r="Q216" s="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</row>
    <row r="217" spans="1:36" s="6" customFormat="1" ht="23.5" customHeight="1" thickBot="1">
      <c r="A217" s="81">
        <v>216</v>
      </c>
      <c r="B217" s="22">
        <v>10</v>
      </c>
      <c r="C217" s="22" t="s">
        <v>155</v>
      </c>
      <c r="D217" s="29" t="s">
        <v>141</v>
      </c>
      <c r="E217" s="23" t="s">
        <v>332</v>
      </c>
      <c r="F217" s="22"/>
      <c r="G217" s="23"/>
      <c r="H217" s="25"/>
      <c r="I217" s="60">
        <v>430000</v>
      </c>
      <c r="J217" s="26">
        <v>430000</v>
      </c>
      <c r="K217" s="32"/>
      <c r="L217" s="25"/>
      <c r="M217" s="22" t="s">
        <v>195</v>
      </c>
      <c r="N217" s="22" t="s">
        <v>192</v>
      </c>
      <c r="O217" s="56">
        <f t="shared" ref="O217:O226" si="15">J217</f>
        <v>430000</v>
      </c>
      <c r="P217" s="22"/>
      <c r="Q217" s="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</row>
    <row r="218" spans="1:36" s="6" customFormat="1" ht="23.5" customHeight="1" thickBot="1">
      <c r="A218" s="81">
        <v>217</v>
      </c>
      <c r="B218" s="22">
        <v>10</v>
      </c>
      <c r="C218" s="22" t="s">
        <v>154</v>
      </c>
      <c r="D218" s="24" t="s">
        <v>136</v>
      </c>
      <c r="E218" s="23" t="s">
        <v>210</v>
      </c>
      <c r="F218" s="23"/>
      <c r="G218" s="23"/>
      <c r="H218" s="25"/>
      <c r="I218" s="55">
        <v>50000</v>
      </c>
      <c r="J218" s="39">
        <v>50000</v>
      </c>
      <c r="K218" s="40"/>
      <c r="L218" s="41"/>
      <c r="M218" s="22" t="s">
        <v>197</v>
      </c>
      <c r="N218" s="22" t="s">
        <v>192</v>
      </c>
      <c r="O218" s="70">
        <f t="shared" si="15"/>
        <v>50000</v>
      </c>
      <c r="P218" s="40"/>
      <c r="Q218" s="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</row>
    <row r="219" spans="1:36" s="6" customFormat="1" ht="23.5" customHeight="1" thickBot="1">
      <c r="A219" s="81">
        <v>218</v>
      </c>
      <c r="B219" s="22">
        <v>10</v>
      </c>
      <c r="C219" s="22" t="s">
        <v>154</v>
      </c>
      <c r="D219" s="24" t="s">
        <v>117</v>
      </c>
      <c r="E219" s="105" t="s">
        <v>331</v>
      </c>
      <c r="F219" s="23"/>
      <c r="G219" s="23"/>
      <c r="H219" s="25"/>
      <c r="I219" s="55">
        <v>34090000</v>
      </c>
      <c r="J219" s="39">
        <v>34090000</v>
      </c>
      <c r="K219" s="40"/>
      <c r="L219" s="41"/>
      <c r="M219" s="22" t="s">
        <v>195</v>
      </c>
      <c r="N219" s="22" t="s">
        <v>192</v>
      </c>
      <c r="O219" s="70">
        <f t="shared" si="15"/>
        <v>34090000</v>
      </c>
      <c r="P219" s="40"/>
      <c r="Q219" s="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</row>
    <row r="220" spans="1:36" s="6" customFormat="1" ht="23.5" customHeight="1" thickBot="1">
      <c r="A220" s="22">
        <v>219</v>
      </c>
      <c r="B220" s="22">
        <v>10</v>
      </c>
      <c r="C220" s="22" t="s">
        <v>154</v>
      </c>
      <c r="D220" s="24" t="s">
        <v>119</v>
      </c>
      <c r="E220" s="105" t="s">
        <v>331</v>
      </c>
      <c r="F220" s="23"/>
      <c r="G220" s="23"/>
      <c r="H220" s="27"/>
      <c r="I220" s="55">
        <v>697000</v>
      </c>
      <c r="J220" s="39">
        <v>697000</v>
      </c>
      <c r="K220" s="40"/>
      <c r="L220" s="41"/>
      <c r="M220" s="22" t="s">
        <v>195</v>
      </c>
      <c r="N220" s="22" t="s">
        <v>192</v>
      </c>
      <c r="O220" s="70">
        <f t="shared" si="15"/>
        <v>697000</v>
      </c>
      <c r="P220" s="40"/>
      <c r="Q220" s="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 s="6" customFormat="1" ht="23.5" customHeight="1" thickBot="1">
      <c r="A221" s="81">
        <v>220</v>
      </c>
      <c r="B221" s="22">
        <v>10</v>
      </c>
      <c r="C221" s="22" t="s">
        <v>154</v>
      </c>
      <c r="D221" s="24" t="s">
        <v>120</v>
      </c>
      <c r="E221" s="23" t="s">
        <v>113</v>
      </c>
      <c r="F221" s="23"/>
      <c r="G221" s="23"/>
      <c r="H221" s="25"/>
      <c r="I221" s="55">
        <v>1647000</v>
      </c>
      <c r="J221" s="39">
        <v>1647000</v>
      </c>
      <c r="K221" s="40"/>
      <c r="L221" s="41"/>
      <c r="M221" s="22" t="s">
        <v>195</v>
      </c>
      <c r="N221" s="22" t="s">
        <v>192</v>
      </c>
      <c r="O221" s="70">
        <f t="shared" si="15"/>
        <v>1647000</v>
      </c>
      <c r="P221" s="40"/>
      <c r="Q221" s="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 s="6" customFormat="1" ht="23.5" customHeight="1" thickBot="1">
      <c r="A222" s="81">
        <v>221</v>
      </c>
      <c r="B222" s="22">
        <v>10</v>
      </c>
      <c r="C222" s="22" t="s">
        <v>154</v>
      </c>
      <c r="D222" s="24" t="s">
        <v>132</v>
      </c>
      <c r="E222" s="23" t="s">
        <v>113</v>
      </c>
      <c r="F222" s="23"/>
      <c r="G222" s="23"/>
      <c r="H222" s="25"/>
      <c r="I222" s="55">
        <v>452000</v>
      </c>
      <c r="J222" s="39">
        <v>452000</v>
      </c>
      <c r="K222" s="40"/>
      <c r="L222" s="41"/>
      <c r="M222" s="22" t="s">
        <v>195</v>
      </c>
      <c r="N222" s="22" t="s">
        <v>192</v>
      </c>
      <c r="O222" s="70">
        <f t="shared" si="15"/>
        <v>452000</v>
      </c>
      <c r="P222" s="40"/>
      <c r="Q222" s="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 s="6" customFormat="1" ht="23.5" customHeight="1" thickBot="1">
      <c r="A223" s="81">
        <v>222</v>
      </c>
      <c r="B223" s="22">
        <v>10</v>
      </c>
      <c r="C223" s="22" t="s">
        <v>154</v>
      </c>
      <c r="D223" s="24" t="s">
        <v>146</v>
      </c>
      <c r="E223" s="105" t="s">
        <v>331</v>
      </c>
      <c r="F223" s="23"/>
      <c r="G223" s="23"/>
      <c r="H223" s="25"/>
      <c r="I223" s="55">
        <v>1400000</v>
      </c>
      <c r="J223" s="39">
        <v>1400000</v>
      </c>
      <c r="K223" s="40"/>
      <c r="L223" s="41"/>
      <c r="M223" s="22" t="s">
        <v>195</v>
      </c>
      <c r="N223" s="22" t="s">
        <v>192</v>
      </c>
      <c r="O223" s="70">
        <f t="shared" si="15"/>
        <v>1400000</v>
      </c>
      <c r="P223" s="40"/>
      <c r="Q223" s="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 s="6" customFormat="1" ht="23.5" customHeight="1" thickBot="1">
      <c r="A224" s="22">
        <v>223</v>
      </c>
      <c r="B224" s="22">
        <v>10</v>
      </c>
      <c r="C224" s="22" t="s">
        <v>154</v>
      </c>
      <c r="D224" s="24" t="s">
        <v>148</v>
      </c>
      <c r="E224" s="23" t="s">
        <v>113</v>
      </c>
      <c r="F224" s="23"/>
      <c r="G224" s="23"/>
      <c r="H224" s="25"/>
      <c r="I224" s="55">
        <v>118000</v>
      </c>
      <c r="J224" s="39">
        <v>118000</v>
      </c>
      <c r="K224" s="40"/>
      <c r="L224" s="41"/>
      <c r="M224" s="22" t="s">
        <v>195</v>
      </c>
      <c r="N224" s="22" t="s">
        <v>192</v>
      </c>
      <c r="O224" s="70">
        <f t="shared" si="15"/>
        <v>118000</v>
      </c>
      <c r="P224" s="40"/>
      <c r="Q224" s="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1:36" s="6" customFormat="1" ht="23.5" customHeight="1" thickBot="1">
      <c r="A225" s="81">
        <v>224</v>
      </c>
      <c r="B225" s="22">
        <v>10</v>
      </c>
      <c r="C225" s="22" t="s">
        <v>154</v>
      </c>
      <c r="D225" s="24" t="s">
        <v>134</v>
      </c>
      <c r="E225" s="23" t="s">
        <v>113</v>
      </c>
      <c r="F225" s="23"/>
      <c r="G225" s="23"/>
      <c r="H225" s="25"/>
      <c r="I225" s="55">
        <v>65000</v>
      </c>
      <c r="J225" s="39">
        <v>65000</v>
      </c>
      <c r="K225" s="40"/>
      <c r="L225" s="41"/>
      <c r="M225" s="22" t="s">
        <v>195</v>
      </c>
      <c r="N225" s="22" t="s">
        <v>192</v>
      </c>
      <c r="O225" s="70">
        <f t="shared" si="15"/>
        <v>65000</v>
      </c>
      <c r="P225" s="40"/>
      <c r="Q225" s="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1:36" s="6" customFormat="1" ht="23.5" customHeight="1" thickBot="1">
      <c r="A226" s="81">
        <v>225</v>
      </c>
      <c r="B226" s="22">
        <v>10</v>
      </c>
      <c r="C226" s="22" t="s">
        <v>154</v>
      </c>
      <c r="D226" s="24" t="s">
        <v>118</v>
      </c>
      <c r="E226" s="23" t="s">
        <v>113</v>
      </c>
      <c r="F226" s="23"/>
      <c r="G226" s="23"/>
      <c r="H226" s="25"/>
      <c r="I226" s="55">
        <v>493000</v>
      </c>
      <c r="J226" s="39">
        <v>493000</v>
      </c>
      <c r="K226" s="40"/>
      <c r="L226" s="41"/>
      <c r="M226" s="22" t="s">
        <v>196</v>
      </c>
      <c r="N226" s="22" t="s">
        <v>192</v>
      </c>
      <c r="O226" s="70">
        <f t="shared" si="15"/>
        <v>493000</v>
      </c>
      <c r="P226" s="40"/>
      <c r="Q226" s="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</row>
    <row r="227" spans="1:36" s="6" customFormat="1" ht="23.5" customHeight="1" thickBot="1">
      <c r="A227" s="81">
        <v>226</v>
      </c>
      <c r="B227" s="22">
        <v>10</v>
      </c>
      <c r="C227" s="22" t="s">
        <v>155</v>
      </c>
      <c r="D227" s="24" t="s">
        <v>349</v>
      </c>
      <c r="E227" s="23" t="s">
        <v>113</v>
      </c>
      <c r="F227" s="23"/>
      <c r="G227" s="23"/>
      <c r="H227" s="25"/>
      <c r="I227" s="55"/>
      <c r="J227" s="39"/>
      <c r="K227" s="40"/>
      <c r="L227" s="41"/>
      <c r="M227" s="22" t="s">
        <v>194</v>
      </c>
      <c r="N227" s="22" t="s">
        <v>192</v>
      </c>
      <c r="O227" s="70">
        <v>250000</v>
      </c>
      <c r="P227" s="40"/>
      <c r="Q227" s="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</row>
    <row r="228" spans="1:36" s="6" customFormat="1" ht="23.5" customHeight="1" thickBot="1">
      <c r="A228" s="22">
        <v>227</v>
      </c>
      <c r="B228" s="22">
        <v>11</v>
      </c>
      <c r="C228" s="22" t="s">
        <v>157</v>
      </c>
      <c r="D228" s="24" t="s">
        <v>344</v>
      </c>
      <c r="E228" s="23" t="s">
        <v>113</v>
      </c>
      <c r="F228" s="23"/>
      <c r="G228" s="23"/>
      <c r="H228" s="25"/>
      <c r="I228" s="55"/>
      <c r="J228" s="39"/>
      <c r="K228" s="40"/>
      <c r="L228" s="41"/>
      <c r="M228" s="22" t="s">
        <v>194</v>
      </c>
      <c r="N228" s="22" t="s">
        <v>192</v>
      </c>
      <c r="O228" s="70">
        <v>160000</v>
      </c>
      <c r="P228" s="40"/>
      <c r="Q228" s="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</row>
    <row r="229" spans="1:36" s="6" customFormat="1" ht="23.5" customHeight="1" thickBot="1">
      <c r="A229" s="81">
        <v>228</v>
      </c>
      <c r="B229" s="22">
        <v>11</v>
      </c>
      <c r="C229" s="22" t="s">
        <v>157</v>
      </c>
      <c r="D229" s="64" t="s">
        <v>160</v>
      </c>
      <c r="E229" s="23" t="s">
        <v>171</v>
      </c>
      <c r="F229" s="22"/>
      <c r="G229" s="23"/>
      <c r="H229" s="25"/>
      <c r="I229" s="60"/>
      <c r="J229" s="26"/>
      <c r="K229" s="32"/>
      <c r="L229" s="25"/>
      <c r="M229" s="22" t="s">
        <v>195</v>
      </c>
      <c r="N229" s="22" t="s">
        <v>192</v>
      </c>
      <c r="O229" s="56">
        <v>1000000</v>
      </c>
      <c r="P229" s="22"/>
      <c r="Q229" s="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</row>
    <row r="230" spans="1:36" s="6" customFormat="1" ht="23.5" customHeight="1" thickBot="1">
      <c r="A230" s="81">
        <v>229</v>
      </c>
      <c r="B230" s="22">
        <v>11</v>
      </c>
      <c r="C230" s="22" t="s">
        <v>156</v>
      </c>
      <c r="D230" s="136" t="s">
        <v>355</v>
      </c>
      <c r="E230" s="23" t="s">
        <v>171</v>
      </c>
      <c r="F230" s="22"/>
      <c r="G230" s="23"/>
      <c r="H230" s="25"/>
      <c r="I230" s="62"/>
      <c r="J230" s="39"/>
      <c r="K230" s="63"/>
      <c r="L230" s="61"/>
      <c r="M230" s="22" t="s">
        <v>194</v>
      </c>
      <c r="N230" s="22" t="s">
        <v>192</v>
      </c>
      <c r="O230" s="70">
        <v>600000</v>
      </c>
      <c r="P230" s="40"/>
      <c r="Q230" s="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</row>
    <row r="231" spans="1:36" s="6" customFormat="1" ht="23.5" customHeight="1" thickBot="1">
      <c r="A231" s="22">
        <v>230</v>
      </c>
      <c r="B231" s="22">
        <v>11</v>
      </c>
      <c r="C231" s="22" t="s">
        <v>157</v>
      </c>
      <c r="D231" s="131" t="s">
        <v>174</v>
      </c>
      <c r="E231" s="23" t="s">
        <v>144</v>
      </c>
      <c r="F231" s="22"/>
      <c r="G231" s="23"/>
      <c r="H231" s="25"/>
      <c r="I231" s="62"/>
      <c r="J231" s="39"/>
      <c r="K231" s="63"/>
      <c r="L231" s="61"/>
      <c r="M231" s="22" t="s">
        <v>195</v>
      </c>
      <c r="N231" s="22" t="s">
        <v>192</v>
      </c>
      <c r="O231" s="70">
        <v>750000</v>
      </c>
      <c r="P231" s="40"/>
      <c r="Q231" s="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</row>
    <row r="232" spans="1:36" s="6" customFormat="1" ht="23.5" customHeight="1" thickBot="1">
      <c r="A232" s="81">
        <v>231</v>
      </c>
      <c r="B232" s="22">
        <v>11</v>
      </c>
      <c r="C232" s="22" t="s">
        <v>338</v>
      </c>
      <c r="D232" s="136" t="s">
        <v>355</v>
      </c>
      <c r="E232" s="23" t="s">
        <v>171</v>
      </c>
      <c r="F232" s="22"/>
      <c r="G232" s="23"/>
      <c r="H232" s="25"/>
      <c r="I232" s="62"/>
      <c r="J232" s="39"/>
      <c r="K232" s="63"/>
      <c r="L232" s="61"/>
      <c r="M232" s="22" t="s">
        <v>194</v>
      </c>
      <c r="N232" s="22" t="s">
        <v>192</v>
      </c>
      <c r="O232" s="70">
        <v>100000</v>
      </c>
      <c r="P232" s="40"/>
      <c r="Q232" s="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1:36" s="6" customFormat="1" ht="23.5" customHeight="1" thickBot="1">
      <c r="A233" s="81">
        <v>232</v>
      </c>
      <c r="B233" s="22">
        <v>11</v>
      </c>
      <c r="C233" s="22" t="s">
        <v>155</v>
      </c>
      <c r="D233" s="65" t="s">
        <v>173</v>
      </c>
      <c r="E233" s="23" t="s">
        <v>144</v>
      </c>
      <c r="F233" s="22"/>
      <c r="G233" s="23"/>
      <c r="H233" s="25"/>
      <c r="I233" s="62"/>
      <c r="J233" s="39"/>
      <c r="K233" s="63"/>
      <c r="L233" s="61"/>
      <c r="M233" s="22" t="s">
        <v>195</v>
      </c>
      <c r="N233" s="22" t="s">
        <v>192</v>
      </c>
      <c r="O233" s="70">
        <v>100000</v>
      </c>
      <c r="P233" s="40"/>
      <c r="Q233" s="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1:36" s="6" customFormat="1" ht="23.5" customHeight="1" thickBot="1">
      <c r="A234" s="22">
        <v>233</v>
      </c>
      <c r="B234" s="22">
        <v>11</v>
      </c>
      <c r="C234" s="22" t="s">
        <v>155</v>
      </c>
      <c r="D234" s="65" t="s">
        <v>339</v>
      </c>
      <c r="E234" s="23" t="s">
        <v>210</v>
      </c>
      <c r="F234" s="22"/>
      <c r="G234" s="23"/>
      <c r="H234" s="25"/>
      <c r="I234" s="62"/>
      <c r="J234" s="39"/>
      <c r="K234" s="63"/>
      <c r="L234" s="61"/>
      <c r="M234" s="22" t="s">
        <v>195</v>
      </c>
      <c r="N234" s="22" t="s">
        <v>192</v>
      </c>
      <c r="O234" s="70">
        <v>2000000</v>
      </c>
      <c r="P234" s="40"/>
      <c r="Q234" s="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1:36" s="6" customFormat="1" ht="23.5" customHeight="1" thickBot="1">
      <c r="A235" s="81">
        <v>234</v>
      </c>
      <c r="B235" s="22">
        <v>11</v>
      </c>
      <c r="C235" s="22" t="s">
        <v>155</v>
      </c>
      <c r="D235" s="64" t="s">
        <v>161</v>
      </c>
      <c r="E235" s="23" t="s">
        <v>113</v>
      </c>
      <c r="F235" s="22"/>
      <c r="G235" s="23"/>
      <c r="H235" s="25"/>
      <c r="I235" s="62"/>
      <c r="J235" s="39"/>
      <c r="K235" s="63"/>
      <c r="L235" s="61"/>
      <c r="M235" s="22" t="s">
        <v>195</v>
      </c>
      <c r="N235" s="22" t="s">
        <v>192</v>
      </c>
      <c r="O235" s="70">
        <v>750000</v>
      </c>
      <c r="P235" s="40"/>
      <c r="Q235" s="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1:36" s="6" customFormat="1" ht="23.5" customHeight="1" thickBot="1">
      <c r="A236" s="81">
        <v>235</v>
      </c>
      <c r="B236" s="22">
        <v>11</v>
      </c>
      <c r="C236" s="22" t="s">
        <v>155</v>
      </c>
      <c r="D236" s="64" t="s">
        <v>175</v>
      </c>
      <c r="E236" s="23" t="s">
        <v>113</v>
      </c>
      <c r="F236" s="22"/>
      <c r="G236" s="23"/>
      <c r="H236" s="25"/>
      <c r="I236" s="62"/>
      <c r="J236" s="39"/>
      <c r="K236" s="63"/>
      <c r="L236" s="61"/>
      <c r="M236" s="22" t="s">
        <v>195</v>
      </c>
      <c r="N236" s="22" t="s">
        <v>192</v>
      </c>
      <c r="O236" s="70">
        <v>800000</v>
      </c>
      <c r="P236" s="40"/>
      <c r="Q236" s="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1:36" s="6" customFormat="1" ht="23.5" customHeight="1" thickBot="1">
      <c r="A237" s="22">
        <v>236</v>
      </c>
      <c r="B237" s="22">
        <v>11</v>
      </c>
      <c r="C237" s="22" t="s">
        <v>154</v>
      </c>
      <c r="D237" s="64" t="s">
        <v>162</v>
      </c>
      <c r="E237" s="105" t="s">
        <v>331</v>
      </c>
      <c r="F237" s="23"/>
      <c r="G237" s="23"/>
      <c r="H237" s="25"/>
      <c r="I237" s="55"/>
      <c r="J237" s="39"/>
      <c r="K237" s="40"/>
      <c r="L237" s="41"/>
      <c r="M237" s="22" t="s">
        <v>195</v>
      </c>
      <c r="N237" s="22" t="s">
        <v>192</v>
      </c>
      <c r="O237" s="70">
        <v>12850000</v>
      </c>
      <c r="P237" s="40"/>
      <c r="Q237" s="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1:36" s="6" customFormat="1" ht="23.5" customHeight="1" thickBot="1">
      <c r="A238" s="81">
        <v>237</v>
      </c>
      <c r="B238" s="22">
        <v>11</v>
      </c>
      <c r="C238" s="22" t="s">
        <v>155</v>
      </c>
      <c r="D238" s="64" t="s">
        <v>163</v>
      </c>
      <c r="E238" s="105" t="s">
        <v>331</v>
      </c>
      <c r="F238" s="23"/>
      <c r="G238" s="23"/>
      <c r="H238" s="25"/>
      <c r="I238" s="55"/>
      <c r="J238" s="39"/>
      <c r="K238" s="40"/>
      <c r="L238" s="41"/>
      <c r="M238" s="22" t="s">
        <v>194</v>
      </c>
      <c r="N238" s="22" t="s">
        <v>192</v>
      </c>
      <c r="O238" s="66">
        <v>7100000</v>
      </c>
      <c r="P238" s="40"/>
      <c r="Q238" s="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</row>
    <row r="239" spans="1:36" s="6" customFormat="1" ht="23.5" customHeight="1" thickBot="1">
      <c r="A239" s="81">
        <v>238</v>
      </c>
      <c r="B239" s="22">
        <v>11</v>
      </c>
      <c r="C239" s="22" t="s">
        <v>155</v>
      </c>
      <c r="D239" s="64" t="s">
        <v>164</v>
      </c>
      <c r="E239" s="105" t="s">
        <v>331</v>
      </c>
      <c r="F239" s="23"/>
      <c r="G239" s="23"/>
      <c r="H239" s="27"/>
      <c r="I239" s="55"/>
      <c r="J239" s="39"/>
      <c r="K239" s="40"/>
      <c r="L239" s="41"/>
      <c r="M239" s="22" t="s">
        <v>199</v>
      </c>
      <c r="N239" s="22" t="s">
        <v>192</v>
      </c>
      <c r="O239" s="66">
        <v>5600000</v>
      </c>
      <c r="P239" s="40"/>
      <c r="Q239" s="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</row>
    <row r="240" spans="1:36" s="6" customFormat="1" ht="23.5" customHeight="1" thickBot="1">
      <c r="A240" s="22">
        <v>239</v>
      </c>
      <c r="B240" s="22">
        <v>11</v>
      </c>
      <c r="C240" s="22" t="s">
        <v>157</v>
      </c>
      <c r="D240" s="64" t="s">
        <v>165</v>
      </c>
      <c r="E240" s="23" t="s">
        <v>144</v>
      </c>
      <c r="F240" s="23"/>
      <c r="G240" s="23"/>
      <c r="H240" s="25"/>
      <c r="I240" s="55"/>
      <c r="J240" s="39"/>
      <c r="K240" s="40"/>
      <c r="L240" s="41"/>
      <c r="M240" s="22" t="s">
        <v>196</v>
      </c>
      <c r="N240" s="22" t="s">
        <v>192</v>
      </c>
      <c r="O240" s="66">
        <v>560000</v>
      </c>
      <c r="P240" s="40"/>
      <c r="Q240" s="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</row>
    <row r="241" spans="1:36" s="6" customFormat="1" ht="23.5" customHeight="1" thickBot="1">
      <c r="A241" s="81">
        <v>240</v>
      </c>
      <c r="B241" s="22">
        <v>11</v>
      </c>
      <c r="C241" s="22" t="s">
        <v>155</v>
      </c>
      <c r="D241" s="64" t="s">
        <v>166</v>
      </c>
      <c r="E241" s="23" t="s">
        <v>144</v>
      </c>
      <c r="F241" s="23"/>
      <c r="G241" s="23"/>
      <c r="H241" s="25"/>
      <c r="I241" s="55"/>
      <c r="J241" s="39"/>
      <c r="K241" s="40"/>
      <c r="L241" s="41"/>
      <c r="M241" s="73" t="s">
        <v>196</v>
      </c>
      <c r="N241" s="22" t="s">
        <v>192</v>
      </c>
      <c r="O241" s="74">
        <v>1328000</v>
      </c>
      <c r="P241" s="40"/>
      <c r="Q241" s="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</row>
    <row r="242" spans="1:36" s="6" customFormat="1" ht="23.5" customHeight="1" thickBot="1">
      <c r="A242" s="81">
        <v>241</v>
      </c>
      <c r="B242" s="22">
        <v>11</v>
      </c>
      <c r="C242" s="22" t="s">
        <v>155</v>
      </c>
      <c r="D242" s="64" t="s">
        <v>167</v>
      </c>
      <c r="E242" s="23" t="s">
        <v>113</v>
      </c>
      <c r="F242" s="23"/>
      <c r="G242" s="23"/>
      <c r="H242" s="25"/>
      <c r="I242" s="55"/>
      <c r="J242" s="39"/>
      <c r="K242" s="40"/>
      <c r="L242" s="77"/>
      <c r="M242" s="22" t="s">
        <v>195</v>
      </c>
      <c r="N242" s="22" t="s">
        <v>192</v>
      </c>
      <c r="O242" s="66">
        <v>103000</v>
      </c>
      <c r="P242" s="78"/>
      <c r="Q242" s="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</row>
    <row r="243" spans="1:36" s="6" customFormat="1" ht="23.5" customHeight="1" thickBot="1">
      <c r="A243" s="22">
        <v>242</v>
      </c>
      <c r="B243" s="22">
        <v>11</v>
      </c>
      <c r="C243" s="22" t="s">
        <v>155</v>
      </c>
      <c r="D243" s="64" t="s">
        <v>168</v>
      </c>
      <c r="E243" s="23" t="s">
        <v>210</v>
      </c>
      <c r="F243" s="23"/>
      <c r="G243" s="23"/>
      <c r="H243" s="25"/>
      <c r="I243" s="55"/>
      <c r="J243" s="39"/>
      <c r="K243" s="40"/>
      <c r="L243" s="77"/>
      <c r="M243" s="22" t="s">
        <v>195</v>
      </c>
      <c r="N243" s="22" t="s">
        <v>192</v>
      </c>
      <c r="O243" s="66">
        <v>530000</v>
      </c>
      <c r="P243" s="78"/>
      <c r="Q243" s="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</row>
    <row r="244" spans="1:36" s="6" customFormat="1" ht="23.5" customHeight="1" thickBot="1">
      <c r="A244" s="81">
        <v>243</v>
      </c>
      <c r="B244" s="22">
        <v>11</v>
      </c>
      <c r="C244" s="22" t="s">
        <v>155</v>
      </c>
      <c r="D244" s="64" t="s">
        <v>169</v>
      </c>
      <c r="E244" s="23" t="s">
        <v>113</v>
      </c>
      <c r="F244" s="23"/>
      <c r="G244" s="23"/>
      <c r="H244" s="25"/>
      <c r="I244" s="55"/>
      <c r="J244" s="39"/>
      <c r="K244" s="40"/>
      <c r="L244" s="41"/>
      <c r="M244" s="22" t="s">
        <v>196</v>
      </c>
      <c r="N244" s="22" t="s">
        <v>192</v>
      </c>
      <c r="O244" s="66">
        <v>488000</v>
      </c>
      <c r="P244" s="40"/>
      <c r="Q244" s="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1:36" s="6" customFormat="1" ht="23.5" customHeight="1" thickBot="1">
      <c r="A245" s="81">
        <v>244</v>
      </c>
      <c r="B245" s="22">
        <v>11</v>
      </c>
      <c r="C245" s="22" t="s">
        <v>155</v>
      </c>
      <c r="D245" s="64" t="s">
        <v>170</v>
      </c>
      <c r="E245" s="23" t="s">
        <v>171</v>
      </c>
      <c r="F245" s="23"/>
      <c r="G245" s="23"/>
      <c r="H245" s="25"/>
      <c r="I245" s="55"/>
      <c r="J245" s="39"/>
      <c r="K245" s="40"/>
      <c r="L245" s="41"/>
      <c r="M245" s="22" t="s">
        <v>194</v>
      </c>
      <c r="N245" s="22" t="s">
        <v>192</v>
      </c>
      <c r="O245" s="66">
        <v>27800000</v>
      </c>
      <c r="P245" s="40"/>
      <c r="Q245" s="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1:36" s="6" customFormat="1" ht="23.5" customHeight="1" thickBot="1">
      <c r="A246" s="22">
        <v>245</v>
      </c>
      <c r="B246" s="22">
        <v>11</v>
      </c>
      <c r="C246" s="22" t="s">
        <v>155</v>
      </c>
      <c r="D246" s="24" t="s">
        <v>172</v>
      </c>
      <c r="E246" s="23" t="s">
        <v>144</v>
      </c>
      <c r="F246" s="23"/>
      <c r="G246" s="23"/>
      <c r="H246" s="25"/>
      <c r="I246" s="55"/>
      <c r="J246" s="39"/>
      <c r="K246" s="40"/>
      <c r="L246" s="41"/>
      <c r="M246" s="22" t="s">
        <v>196</v>
      </c>
      <c r="N246" s="22" t="s">
        <v>192</v>
      </c>
      <c r="O246" s="70">
        <v>1000000</v>
      </c>
      <c r="P246" s="40"/>
      <c r="Q246" s="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1:36" s="6" customFormat="1" ht="23.5" customHeight="1" thickBot="1">
      <c r="A247" s="81">
        <v>246</v>
      </c>
      <c r="B247" s="22">
        <v>11</v>
      </c>
      <c r="C247" s="22" t="s">
        <v>156</v>
      </c>
      <c r="D247" s="24" t="s">
        <v>343</v>
      </c>
      <c r="E247" s="23" t="s">
        <v>171</v>
      </c>
      <c r="F247" s="23"/>
      <c r="G247" s="23"/>
      <c r="H247" s="25"/>
      <c r="I247" s="55"/>
      <c r="J247" s="39"/>
      <c r="K247" s="40"/>
      <c r="L247" s="41"/>
      <c r="M247" s="73" t="s">
        <v>194</v>
      </c>
      <c r="N247" s="22" t="s">
        <v>192</v>
      </c>
      <c r="O247" s="75">
        <v>3000000</v>
      </c>
      <c r="P247" s="40"/>
      <c r="Q247" s="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1:36" s="6" customFormat="1" ht="23.5" customHeight="1" thickBot="1">
      <c r="A248" s="81">
        <v>247</v>
      </c>
      <c r="B248" s="22">
        <v>11</v>
      </c>
      <c r="C248" s="22" t="s">
        <v>155</v>
      </c>
      <c r="D248" s="24" t="s">
        <v>190</v>
      </c>
      <c r="E248" s="23" t="s">
        <v>113</v>
      </c>
      <c r="F248" s="23"/>
      <c r="G248" s="23"/>
      <c r="H248" s="25"/>
      <c r="I248" s="55"/>
      <c r="J248" s="39"/>
      <c r="K248" s="40"/>
      <c r="L248" s="77"/>
      <c r="M248" s="22" t="s">
        <v>195</v>
      </c>
      <c r="N248" s="22" t="s">
        <v>192</v>
      </c>
      <c r="O248" s="56">
        <v>280000</v>
      </c>
      <c r="P248" s="78"/>
      <c r="Q248" s="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1:36" s="6" customFormat="1" ht="23.5" customHeight="1" thickBot="1">
      <c r="A249" s="22">
        <v>248</v>
      </c>
      <c r="B249" s="22">
        <v>11</v>
      </c>
      <c r="C249" s="22" t="s">
        <v>155</v>
      </c>
      <c r="D249" s="24" t="s">
        <v>176</v>
      </c>
      <c r="E249" s="23" t="s">
        <v>210</v>
      </c>
      <c r="F249" s="23"/>
      <c r="G249" s="23"/>
      <c r="H249" s="25"/>
      <c r="I249" s="55"/>
      <c r="J249" s="39"/>
      <c r="K249" s="40"/>
      <c r="L249" s="41"/>
      <c r="M249" s="73" t="s">
        <v>194</v>
      </c>
      <c r="N249" s="22" t="s">
        <v>192</v>
      </c>
      <c r="O249" s="75">
        <v>709000</v>
      </c>
      <c r="P249" s="40"/>
      <c r="Q249" s="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spans="1:36" s="6" customFormat="1" ht="23.5" customHeight="1" thickBot="1">
      <c r="A250" s="81">
        <v>249</v>
      </c>
      <c r="B250" s="22">
        <v>11</v>
      </c>
      <c r="C250" s="22" t="s">
        <v>156</v>
      </c>
      <c r="D250" s="24" t="s">
        <v>201</v>
      </c>
      <c r="E250" s="23" t="s">
        <v>210</v>
      </c>
      <c r="F250" s="22" t="s">
        <v>195</v>
      </c>
      <c r="G250" s="22" t="s">
        <v>200</v>
      </c>
      <c r="H250" s="70">
        <v>2040000</v>
      </c>
      <c r="I250" s="4"/>
      <c r="J250" s="5"/>
      <c r="K250" s="5"/>
      <c r="L250" s="76"/>
      <c r="M250" s="22" t="s">
        <v>194</v>
      </c>
      <c r="N250" s="22" t="s">
        <v>192</v>
      </c>
      <c r="O250" s="69">
        <v>1000000</v>
      </c>
      <c r="P250" s="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36" s="6" customFormat="1" ht="23.5" customHeight="1" thickBot="1">
      <c r="A251" s="81">
        <v>250</v>
      </c>
      <c r="B251" s="22">
        <v>11</v>
      </c>
      <c r="C251" s="22" t="s">
        <v>156</v>
      </c>
      <c r="D251" s="24" t="s">
        <v>202</v>
      </c>
      <c r="E251" s="23" t="s">
        <v>210</v>
      </c>
      <c r="F251" s="23"/>
      <c r="G251" s="23"/>
      <c r="H251" s="25"/>
      <c r="I251" s="55"/>
      <c r="J251" s="39"/>
      <c r="K251" s="40"/>
      <c r="L251" s="77"/>
      <c r="M251" s="22" t="s">
        <v>195</v>
      </c>
      <c r="N251" s="22" t="s">
        <v>192</v>
      </c>
      <c r="O251" s="56">
        <v>1040000</v>
      </c>
      <c r="P251" s="78"/>
      <c r="Q251" s="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</row>
    <row r="252" spans="1:36" s="6" customFormat="1" ht="23.5" customHeight="1" thickBot="1">
      <c r="A252" s="22">
        <v>251</v>
      </c>
      <c r="B252" s="22">
        <v>11</v>
      </c>
      <c r="C252" s="22" t="s">
        <v>338</v>
      </c>
      <c r="D252" s="24" t="s">
        <v>211</v>
      </c>
      <c r="E252" s="23" t="s">
        <v>210</v>
      </c>
      <c r="F252" s="23"/>
      <c r="G252" s="23"/>
      <c r="H252" s="25"/>
      <c r="I252" s="55"/>
      <c r="J252" s="39"/>
      <c r="K252" s="40"/>
      <c r="L252" s="77"/>
      <c r="M252" s="22" t="s">
        <v>196</v>
      </c>
      <c r="N252" s="22" t="s">
        <v>192</v>
      </c>
      <c r="O252" s="70">
        <v>3350000</v>
      </c>
      <c r="P252" s="78"/>
      <c r="Q252" s="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</row>
    <row r="253" spans="1:36" s="6" customFormat="1" ht="23.5" customHeight="1" thickBot="1">
      <c r="A253" s="81">
        <v>252</v>
      </c>
      <c r="B253" s="22">
        <v>11</v>
      </c>
      <c r="C253" s="22" t="s">
        <v>154</v>
      </c>
      <c r="D253" s="24" t="s">
        <v>177</v>
      </c>
      <c r="E253" s="23" t="s">
        <v>210</v>
      </c>
      <c r="F253" s="23"/>
      <c r="G253" s="23"/>
      <c r="H253" s="25"/>
      <c r="I253" s="55"/>
      <c r="J253" s="39"/>
      <c r="K253" s="40"/>
      <c r="L253" s="41"/>
      <c r="M253" s="22" t="s">
        <v>197</v>
      </c>
      <c r="N253" s="22" t="s">
        <v>192</v>
      </c>
      <c r="O253" s="70">
        <v>2800000</v>
      </c>
      <c r="P253" s="40"/>
      <c r="Q253" s="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</row>
    <row r="254" spans="1:36" s="6" customFormat="1" ht="23.5" customHeight="1" thickBot="1">
      <c r="A254" s="81">
        <v>253</v>
      </c>
      <c r="B254" s="22">
        <v>11</v>
      </c>
      <c r="C254" s="22" t="s">
        <v>154</v>
      </c>
      <c r="D254" s="24" t="s">
        <v>206</v>
      </c>
      <c r="E254" s="23" t="s">
        <v>210</v>
      </c>
      <c r="F254" s="23"/>
      <c r="G254" s="23"/>
      <c r="H254" s="25"/>
      <c r="I254" s="55"/>
      <c r="J254" s="39"/>
      <c r="K254" s="40"/>
      <c r="L254" s="41"/>
      <c r="M254" s="22" t="s">
        <v>197</v>
      </c>
      <c r="N254" s="22" t="s">
        <v>192</v>
      </c>
      <c r="O254" s="70">
        <v>1600000</v>
      </c>
      <c r="P254" s="40"/>
      <c r="Q254" s="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</row>
    <row r="255" spans="1:36" s="6" customFormat="1" ht="23.5" customHeight="1" thickBot="1">
      <c r="A255" s="22">
        <v>254</v>
      </c>
      <c r="B255" s="22">
        <v>11</v>
      </c>
      <c r="C255" s="22" t="s">
        <v>154</v>
      </c>
      <c r="D255" s="24" t="s">
        <v>178</v>
      </c>
      <c r="E255" s="23" t="s">
        <v>210</v>
      </c>
      <c r="F255" s="23"/>
      <c r="G255" s="23"/>
      <c r="H255" s="25"/>
      <c r="I255" s="55"/>
      <c r="J255" s="39"/>
      <c r="K255" s="40"/>
      <c r="L255" s="41"/>
      <c r="M255" s="73" t="s">
        <v>197</v>
      </c>
      <c r="N255" s="22" t="s">
        <v>192</v>
      </c>
      <c r="O255" s="75">
        <v>630000</v>
      </c>
      <c r="P255" s="40"/>
      <c r="Q255" s="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</row>
    <row r="256" spans="1:36" s="6" customFormat="1" ht="23.5" customHeight="1" thickBot="1">
      <c r="A256" s="81">
        <v>255</v>
      </c>
      <c r="B256" s="22">
        <v>11</v>
      </c>
      <c r="C256" s="22" t="s">
        <v>155</v>
      </c>
      <c r="D256" s="24" t="s">
        <v>180</v>
      </c>
      <c r="E256" s="23" t="s">
        <v>113</v>
      </c>
      <c r="F256" s="23"/>
      <c r="G256" s="23"/>
      <c r="H256" s="25"/>
      <c r="I256" s="55"/>
      <c r="J256" s="39"/>
      <c r="K256" s="40"/>
      <c r="L256" s="77"/>
      <c r="M256" s="22" t="s">
        <v>196</v>
      </c>
      <c r="N256" s="22" t="s">
        <v>192</v>
      </c>
      <c r="O256" s="56">
        <v>340000</v>
      </c>
      <c r="P256" s="78"/>
      <c r="Q256" s="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spans="1:36" s="6" customFormat="1" ht="23.5" customHeight="1" thickBot="1">
      <c r="A257" s="81">
        <v>256</v>
      </c>
      <c r="B257" s="22">
        <v>11</v>
      </c>
      <c r="C257" s="22" t="s">
        <v>181</v>
      </c>
      <c r="D257" s="24" t="s">
        <v>182</v>
      </c>
      <c r="E257" s="23" t="s">
        <v>171</v>
      </c>
      <c r="F257" s="23"/>
      <c r="G257" s="23"/>
      <c r="H257" s="25"/>
      <c r="I257" s="55"/>
      <c r="J257" s="39"/>
      <c r="K257" s="40"/>
      <c r="L257" s="41"/>
      <c r="M257" s="73" t="s">
        <v>194</v>
      </c>
      <c r="N257" s="22" t="s">
        <v>192</v>
      </c>
      <c r="O257" s="75">
        <v>5003460</v>
      </c>
      <c r="P257" s="40"/>
      <c r="Q257" s="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spans="1:36" s="6" customFormat="1" ht="23.5" customHeight="1" thickBot="1">
      <c r="A258" s="22">
        <v>257</v>
      </c>
      <c r="B258" s="22">
        <v>11</v>
      </c>
      <c r="C258" s="22" t="s">
        <v>156</v>
      </c>
      <c r="D258" s="24" t="s">
        <v>179</v>
      </c>
      <c r="E258" s="23" t="s">
        <v>335</v>
      </c>
      <c r="F258" s="23"/>
      <c r="G258" s="23"/>
      <c r="H258" s="25"/>
      <c r="I258" s="55"/>
      <c r="J258" s="39"/>
      <c r="K258" s="40"/>
      <c r="L258" s="77"/>
      <c r="M258" s="22" t="s">
        <v>196</v>
      </c>
      <c r="N258" s="22" t="s">
        <v>192</v>
      </c>
      <c r="O258" s="56">
        <v>210000</v>
      </c>
      <c r="P258" s="78"/>
      <c r="Q258" s="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spans="1:36" s="6" customFormat="1" ht="23.5" customHeight="1" thickBot="1">
      <c r="A259" s="81">
        <v>258</v>
      </c>
      <c r="B259" s="22">
        <v>11</v>
      </c>
      <c r="C259" s="22" t="s">
        <v>155</v>
      </c>
      <c r="D259" s="24" t="s">
        <v>179</v>
      </c>
      <c r="E259" s="23" t="s">
        <v>335</v>
      </c>
      <c r="F259" s="23"/>
      <c r="G259" s="23"/>
      <c r="H259" s="25"/>
      <c r="I259" s="55"/>
      <c r="J259" s="39"/>
      <c r="K259" s="40"/>
      <c r="L259" s="77"/>
      <c r="M259" s="22" t="s">
        <v>196</v>
      </c>
      <c r="N259" s="22" t="s">
        <v>192</v>
      </c>
      <c r="O259" s="56">
        <v>123000</v>
      </c>
      <c r="P259" s="78"/>
      <c r="Q259" s="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spans="1:36" s="6" customFormat="1" ht="23.5" customHeight="1" thickBot="1">
      <c r="A260" s="81">
        <v>259</v>
      </c>
      <c r="B260" s="22">
        <v>11</v>
      </c>
      <c r="C260" s="22" t="s">
        <v>155</v>
      </c>
      <c r="D260" s="24" t="s">
        <v>184</v>
      </c>
      <c r="E260" s="23" t="s">
        <v>113</v>
      </c>
      <c r="F260" s="23"/>
      <c r="G260" s="23"/>
      <c r="H260" s="25"/>
      <c r="I260" s="55"/>
      <c r="J260" s="39"/>
      <c r="K260" s="40"/>
      <c r="L260" s="41"/>
      <c r="M260" s="22" t="s">
        <v>195</v>
      </c>
      <c r="N260" s="22" t="s">
        <v>192</v>
      </c>
      <c r="O260" s="70">
        <v>709000</v>
      </c>
      <c r="P260" s="40"/>
      <c r="Q260" s="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spans="1:36" s="6" customFormat="1" ht="23.5" customHeight="1" thickBot="1">
      <c r="A261" s="22">
        <v>260</v>
      </c>
      <c r="B261" s="22">
        <v>11</v>
      </c>
      <c r="C261" s="22" t="s">
        <v>181</v>
      </c>
      <c r="D261" s="24" t="s">
        <v>185</v>
      </c>
      <c r="E261" s="81" t="s">
        <v>331</v>
      </c>
      <c r="F261" s="23"/>
      <c r="G261" s="23"/>
      <c r="H261" s="25"/>
      <c r="I261" s="55"/>
      <c r="J261" s="39"/>
      <c r="K261" s="40"/>
      <c r="L261" s="41"/>
      <c r="M261" s="22" t="s">
        <v>194</v>
      </c>
      <c r="N261" s="22" t="s">
        <v>192</v>
      </c>
      <c r="O261" s="70">
        <v>729800</v>
      </c>
      <c r="P261" s="40"/>
      <c r="Q261" s="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 s="6" customFormat="1" ht="23.5" customHeight="1" thickBot="1">
      <c r="A262" s="81">
        <v>261</v>
      </c>
      <c r="B262" s="22">
        <v>11</v>
      </c>
      <c r="C262" s="22" t="s">
        <v>155</v>
      </c>
      <c r="D262" s="24" t="s">
        <v>187</v>
      </c>
      <c r="E262" s="23" t="s">
        <v>208</v>
      </c>
      <c r="F262" s="23"/>
      <c r="G262" s="23"/>
      <c r="H262" s="25"/>
      <c r="I262" s="55"/>
      <c r="J262" s="39"/>
      <c r="K262" s="40"/>
      <c r="L262" s="41"/>
      <c r="M262" s="22" t="s">
        <v>195</v>
      </c>
      <c r="N262" s="22" t="s">
        <v>192</v>
      </c>
      <c r="O262" s="70">
        <v>125350</v>
      </c>
      <c r="P262" s="40"/>
      <c r="Q262" s="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</row>
    <row r="263" spans="1:36" s="6" customFormat="1" ht="23.5" customHeight="1" thickBot="1">
      <c r="A263" s="81">
        <v>262</v>
      </c>
      <c r="B263" s="22">
        <v>11</v>
      </c>
      <c r="C263" s="22" t="s">
        <v>157</v>
      </c>
      <c r="D263" s="24" t="s">
        <v>186</v>
      </c>
      <c r="E263" s="23" t="s">
        <v>208</v>
      </c>
      <c r="F263" s="23"/>
      <c r="G263" s="23"/>
      <c r="H263" s="25"/>
      <c r="I263" s="55"/>
      <c r="J263" s="39"/>
      <c r="K263" s="40"/>
      <c r="L263" s="41"/>
      <c r="M263" s="22" t="s">
        <v>195</v>
      </c>
      <c r="N263" s="22" t="s">
        <v>192</v>
      </c>
      <c r="O263" s="70">
        <v>323222</v>
      </c>
      <c r="P263" s="40"/>
      <c r="Q263" s="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</row>
    <row r="264" spans="1:36" s="6" customFormat="1" ht="23.5" customHeight="1" thickBot="1">
      <c r="A264" s="22">
        <v>263</v>
      </c>
      <c r="B264" s="22">
        <v>11</v>
      </c>
      <c r="C264" s="22" t="s">
        <v>154</v>
      </c>
      <c r="D264" s="24" t="s">
        <v>188</v>
      </c>
      <c r="E264" s="23" t="s">
        <v>144</v>
      </c>
      <c r="F264" s="23"/>
      <c r="G264" s="23"/>
      <c r="H264" s="25"/>
      <c r="I264" s="55"/>
      <c r="J264" s="39"/>
      <c r="K264" s="40"/>
      <c r="L264" s="41"/>
      <c r="M264" s="22" t="s">
        <v>197</v>
      </c>
      <c r="N264" s="22" t="s">
        <v>192</v>
      </c>
      <c r="O264" s="70">
        <v>1050000</v>
      </c>
      <c r="P264" s="40"/>
      <c r="Q264" s="4" t="s">
        <v>205</v>
      </c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</row>
    <row r="265" spans="1:36" s="6" customFormat="1" ht="23.5" customHeight="1" thickBot="1">
      <c r="A265" s="81">
        <v>264</v>
      </c>
      <c r="B265" s="22">
        <v>11</v>
      </c>
      <c r="C265" s="22" t="s">
        <v>154</v>
      </c>
      <c r="D265" s="24" t="s">
        <v>189</v>
      </c>
      <c r="E265" s="23" t="s">
        <v>113</v>
      </c>
      <c r="F265" s="23"/>
      <c r="G265" s="23"/>
      <c r="H265" s="25"/>
      <c r="I265" s="55"/>
      <c r="J265" s="39"/>
      <c r="K265" s="40"/>
      <c r="L265" s="41"/>
      <c r="M265" s="22" t="s">
        <v>197</v>
      </c>
      <c r="N265" s="22" t="s">
        <v>192</v>
      </c>
      <c r="O265" s="70">
        <v>490000</v>
      </c>
      <c r="P265" s="40"/>
      <c r="Q265" s="4" t="s">
        <v>205</v>
      </c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</row>
    <row r="266" spans="1:36" s="6" customFormat="1" ht="23.5" customHeight="1" thickBot="1">
      <c r="A266" s="81">
        <v>265</v>
      </c>
      <c r="B266" s="22">
        <v>11</v>
      </c>
      <c r="C266" s="22" t="s">
        <v>154</v>
      </c>
      <c r="D266" s="24" t="s">
        <v>203</v>
      </c>
      <c r="E266" s="23" t="s">
        <v>171</v>
      </c>
      <c r="F266" s="23"/>
      <c r="G266" s="23"/>
      <c r="H266" s="25"/>
      <c r="I266" s="55"/>
      <c r="J266" s="39"/>
      <c r="K266" s="40"/>
      <c r="L266" s="41"/>
      <c r="M266" s="22" t="s">
        <v>194</v>
      </c>
      <c r="N266" s="22" t="s">
        <v>192</v>
      </c>
      <c r="O266" s="70">
        <v>10000000</v>
      </c>
      <c r="P266" s="40"/>
      <c r="Q266" s="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</row>
    <row r="267" spans="1:36" s="6" customFormat="1" ht="23.5" customHeight="1" thickBot="1">
      <c r="A267" s="22">
        <v>266</v>
      </c>
      <c r="B267" s="22">
        <v>11</v>
      </c>
      <c r="C267" s="22" t="s">
        <v>155</v>
      </c>
      <c r="D267" s="24" t="s">
        <v>204</v>
      </c>
      <c r="E267" s="23" t="s">
        <v>113</v>
      </c>
      <c r="F267" s="23"/>
      <c r="G267" s="23"/>
      <c r="H267" s="25"/>
      <c r="I267" s="55"/>
      <c r="J267" s="39"/>
      <c r="K267" s="40"/>
      <c r="L267" s="41"/>
      <c r="M267" s="22" t="s">
        <v>195</v>
      </c>
      <c r="N267" s="22" t="s">
        <v>192</v>
      </c>
      <c r="O267" s="70">
        <v>168000</v>
      </c>
      <c r="P267" s="40"/>
      <c r="Q267" s="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</row>
    <row r="268" spans="1:36" s="6" customFormat="1" ht="23.5" customHeight="1" thickBot="1">
      <c r="A268" s="81">
        <v>267</v>
      </c>
      <c r="B268" s="22">
        <v>11</v>
      </c>
      <c r="C268" s="22" t="s">
        <v>155</v>
      </c>
      <c r="D268" s="24" t="s">
        <v>209</v>
      </c>
      <c r="E268" s="23" t="s">
        <v>330</v>
      </c>
      <c r="F268" s="23"/>
      <c r="G268" s="23"/>
      <c r="H268" s="25"/>
      <c r="I268" s="55"/>
      <c r="J268" s="39"/>
      <c r="K268" s="40"/>
      <c r="L268" s="41"/>
      <c r="M268" s="22" t="s">
        <v>194</v>
      </c>
      <c r="N268" s="22" t="s">
        <v>192</v>
      </c>
      <c r="O268" s="70">
        <v>10000000</v>
      </c>
      <c r="P268" s="40"/>
      <c r="Q268" s="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spans="1:36" s="6" customFormat="1" ht="23.5" customHeight="1" thickBot="1">
      <c r="A269" s="81">
        <v>268</v>
      </c>
      <c r="B269" s="22">
        <v>11</v>
      </c>
      <c r="C269" s="22" t="s">
        <v>157</v>
      </c>
      <c r="D269" s="24" t="s">
        <v>212</v>
      </c>
      <c r="E269" s="23" t="s">
        <v>113</v>
      </c>
      <c r="F269" s="23"/>
      <c r="G269" s="23"/>
      <c r="H269" s="25"/>
      <c r="I269" s="55"/>
      <c r="J269" s="39"/>
      <c r="K269" s="40"/>
      <c r="L269" s="41"/>
      <c r="M269" s="22" t="s">
        <v>195</v>
      </c>
      <c r="N269" s="22" t="s">
        <v>192</v>
      </c>
      <c r="O269" s="70">
        <v>108000</v>
      </c>
      <c r="P269" s="40"/>
      <c r="Q269" s="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spans="1:36" s="6" customFormat="1" ht="23.5" customHeight="1" thickBot="1">
      <c r="A270" s="22">
        <v>269</v>
      </c>
      <c r="B270" s="22">
        <v>11</v>
      </c>
      <c r="C270" s="22" t="s">
        <v>154</v>
      </c>
      <c r="D270" s="24" t="s">
        <v>207</v>
      </c>
      <c r="E270" s="81" t="s">
        <v>331</v>
      </c>
      <c r="F270" s="23"/>
      <c r="G270" s="23"/>
      <c r="H270" s="25"/>
      <c r="I270" s="55"/>
      <c r="J270" s="39"/>
      <c r="K270" s="40"/>
      <c r="L270" s="41"/>
      <c r="M270" s="22" t="s">
        <v>195</v>
      </c>
      <c r="N270" s="22" t="s">
        <v>192</v>
      </c>
      <c r="O270" s="70">
        <v>706360</v>
      </c>
      <c r="P270" s="40"/>
      <c r="Q270" s="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spans="1:36" s="6" customFormat="1" ht="23.5" customHeight="1" thickBot="1">
      <c r="A271" s="81">
        <v>270</v>
      </c>
      <c r="B271" s="22">
        <v>11</v>
      </c>
      <c r="C271" s="22" t="s">
        <v>181</v>
      </c>
      <c r="D271" s="24" t="s">
        <v>183</v>
      </c>
      <c r="E271" s="81" t="s">
        <v>331</v>
      </c>
      <c r="F271" s="23"/>
      <c r="G271" s="23"/>
      <c r="H271" s="25"/>
      <c r="I271" s="55"/>
      <c r="J271" s="39"/>
      <c r="K271" s="40"/>
      <c r="L271" s="41"/>
      <c r="M271" s="22" t="s">
        <v>194</v>
      </c>
      <c r="N271" s="22" t="s">
        <v>192</v>
      </c>
      <c r="O271" s="70">
        <v>7540000</v>
      </c>
      <c r="P271" s="40"/>
      <c r="Q271" s="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spans="1:36" s="6" customFormat="1" ht="23.5" customHeight="1" thickBot="1">
      <c r="A272" s="81">
        <v>271</v>
      </c>
      <c r="B272" s="22">
        <v>11</v>
      </c>
      <c r="C272" s="22" t="s">
        <v>155</v>
      </c>
      <c r="D272" s="24" t="s">
        <v>354</v>
      </c>
      <c r="E272" s="81" t="s">
        <v>335</v>
      </c>
      <c r="F272" s="23"/>
      <c r="G272" s="23"/>
      <c r="H272" s="25"/>
      <c r="I272" s="55"/>
      <c r="J272" s="39"/>
      <c r="K272" s="40"/>
      <c r="L272" s="41"/>
      <c r="M272" s="22" t="s">
        <v>196</v>
      </c>
      <c r="N272" s="22" t="s">
        <v>192</v>
      </c>
      <c r="O272" s="70">
        <v>381000</v>
      </c>
      <c r="P272" s="40"/>
      <c r="Q272" s="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spans="1:36" s="6" customFormat="1" ht="23.5" customHeight="1" thickBot="1">
      <c r="A273" s="22">
        <v>272</v>
      </c>
      <c r="B273" s="22">
        <v>11</v>
      </c>
      <c r="C273" s="22" t="s">
        <v>155</v>
      </c>
      <c r="D273" s="24" t="s">
        <v>353</v>
      </c>
      <c r="E273" s="81" t="s">
        <v>335</v>
      </c>
      <c r="F273" s="23"/>
      <c r="G273" s="23"/>
      <c r="H273" s="25"/>
      <c r="I273" s="55"/>
      <c r="J273" s="39"/>
      <c r="K273" s="40"/>
      <c r="L273" s="41"/>
      <c r="M273" s="22" t="s">
        <v>195</v>
      </c>
      <c r="N273" s="22" t="s">
        <v>200</v>
      </c>
      <c r="O273" s="70">
        <v>181000</v>
      </c>
      <c r="P273" s="40"/>
      <c r="Q273" s="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spans="1:36" s="6" customFormat="1" ht="23.5" customHeight="1" thickBot="1">
      <c r="A274" s="81">
        <v>273</v>
      </c>
      <c r="B274" s="22">
        <v>11</v>
      </c>
      <c r="C274" s="22" t="s">
        <v>157</v>
      </c>
      <c r="D274" s="24" t="s">
        <v>341</v>
      </c>
      <c r="E274" s="81" t="s">
        <v>335</v>
      </c>
      <c r="F274" s="23"/>
      <c r="G274" s="23"/>
      <c r="H274" s="25"/>
      <c r="I274" s="55"/>
      <c r="J274" s="39"/>
      <c r="K274" s="40"/>
      <c r="L274" s="41"/>
      <c r="M274" s="22" t="s">
        <v>195</v>
      </c>
      <c r="N274" s="22" t="s">
        <v>192</v>
      </c>
      <c r="O274" s="70">
        <v>559000</v>
      </c>
      <c r="P274" s="40"/>
      <c r="Q274" s="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</row>
    <row r="275" spans="1:36" s="6" customFormat="1" ht="23.5" customHeight="1" thickBot="1">
      <c r="A275" s="81">
        <v>274</v>
      </c>
      <c r="B275" s="22">
        <v>11</v>
      </c>
      <c r="C275" s="22" t="s">
        <v>154</v>
      </c>
      <c r="D275" s="24" t="s">
        <v>342</v>
      </c>
      <c r="E275" s="81" t="s">
        <v>113</v>
      </c>
      <c r="F275" s="23"/>
      <c r="G275" s="23"/>
      <c r="H275" s="25"/>
      <c r="I275" s="55"/>
      <c r="J275" s="39"/>
      <c r="K275" s="40"/>
      <c r="L275" s="41"/>
      <c r="M275" s="22" t="s">
        <v>195</v>
      </c>
      <c r="N275" s="22" t="s">
        <v>200</v>
      </c>
      <c r="O275" s="70">
        <v>45000</v>
      </c>
      <c r="P275" s="40"/>
      <c r="Q275" s="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</row>
    <row r="276" spans="1:36" s="6" customFormat="1" ht="23.5" customHeight="1" thickBot="1">
      <c r="A276" s="22">
        <v>275</v>
      </c>
      <c r="B276" s="22">
        <v>11</v>
      </c>
      <c r="C276" s="22" t="s">
        <v>155</v>
      </c>
      <c r="D276" s="24" t="s">
        <v>350</v>
      </c>
      <c r="E276" s="81" t="s">
        <v>171</v>
      </c>
      <c r="F276" s="23"/>
      <c r="G276" s="23"/>
      <c r="H276" s="25"/>
      <c r="I276" s="55"/>
      <c r="J276" s="39"/>
      <c r="K276" s="40"/>
      <c r="L276" s="41"/>
      <c r="M276" s="22" t="s">
        <v>194</v>
      </c>
      <c r="N276" s="22" t="s">
        <v>192</v>
      </c>
      <c r="O276" s="70">
        <v>80000</v>
      </c>
      <c r="P276" s="40"/>
      <c r="Q276" s="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</row>
    <row r="277" spans="1:36" s="6" customFormat="1" ht="23.5" customHeight="1" thickBot="1">
      <c r="A277" s="81">
        <v>276</v>
      </c>
      <c r="B277" s="22">
        <v>11</v>
      </c>
      <c r="C277" s="22" t="s">
        <v>157</v>
      </c>
      <c r="D277" s="24" t="s">
        <v>351</v>
      </c>
      <c r="E277" s="81" t="s">
        <v>113</v>
      </c>
      <c r="F277" s="23"/>
      <c r="G277" s="23"/>
      <c r="H277" s="25"/>
      <c r="I277" s="55"/>
      <c r="J277" s="39"/>
      <c r="K277" s="40"/>
      <c r="L277" s="41"/>
      <c r="M277" s="22" t="s">
        <v>195</v>
      </c>
      <c r="N277" s="22" t="s">
        <v>200</v>
      </c>
      <c r="O277" s="70">
        <v>45000</v>
      </c>
      <c r="P277" s="40"/>
      <c r="Q277" s="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</row>
    <row r="278" spans="1:36" s="6" customFormat="1" ht="23.5" customHeight="1" thickBot="1">
      <c r="A278" s="81">
        <v>277</v>
      </c>
      <c r="B278" s="22">
        <v>11</v>
      </c>
      <c r="C278" s="22" t="s">
        <v>155</v>
      </c>
      <c r="D278" s="24" t="s">
        <v>351</v>
      </c>
      <c r="E278" s="81" t="s">
        <v>113</v>
      </c>
      <c r="F278" s="23"/>
      <c r="G278" s="23"/>
      <c r="H278" s="25"/>
      <c r="I278" s="55"/>
      <c r="J278" s="39"/>
      <c r="K278" s="40"/>
      <c r="L278" s="41"/>
      <c r="M278" s="22" t="s">
        <v>195</v>
      </c>
      <c r="N278" s="22" t="s">
        <v>200</v>
      </c>
      <c r="O278" s="70">
        <v>45000</v>
      </c>
      <c r="P278" s="40"/>
      <c r="Q278" s="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</row>
    <row r="279" spans="1:36" s="6" customFormat="1" ht="23.5" customHeight="1" thickBot="1">
      <c r="A279" s="22">
        <v>278</v>
      </c>
      <c r="B279" s="22">
        <v>11</v>
      </c>
      <c r="C279" s="22" t="s">
        <v>181</v>
      </c>
      <c r="D279" s="24" t="s">
        <v>352</v>
      </c>
      <c r="E279" s="81" t="s">
        <v>113</v>
      </c>
      <c r="F279" s="23"/>
      <c r="G279" s="23"/>
      <c r="H279" s="25"/>
      <c r="I279" s="55"/>
      <c r="J279" s="39"/>
      <c r="K279" s="40"/>
      <c r="L279" s="41"/>
      <c r="M279" s="22" t="s">
        <v>196</v>
      </c>
      <c r="N279" s="22" t="s">
        <v>192</v>
      </c>
      <c r="O279" s="70">
        <v>2190000</v>
      </c>
      <c r="P279" s="40"/>
      <c r="Q279" s="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</row>
    <row r="280" spans="1:36" s="6" customFormat="1" ht="23.5" customHeight="1" thickBot="1">
      <c r="A280" s="81">
        <v>279</v>
      </c>
      <c r="B280" s="22">
        <v>11</v>
      </c>
      <c r="C280" s="22" t="s">
        <v>157</v>
      </c>
      <c r="D280" s="24" t="s">
        <v>373</v>
      </c>
      <c r="E280" s="81" t="s">
        <v>113</v>
      </c>
      <c r="F280" s="23"/>
      <c r="G280" s="23"/>
      <c r="H280" s="25"/>
      <c r="I280" s="55"/>
      <c r="J280" s="39"/>
      <c r="K280" s="40"/>
      <c r="L280" s="41"/>
      <c r="M280" s="22" t="s">
        <v>195</v>
      </c>
      <c r="N280" s="22" t="s">
        <v>200</v>
      </c>
      <c r="O280" s="70"/>
      <c r="P280" s="40"/>
      <c r="Q280" s="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spans="1:36" s="6" customFormat="1" ht="23.5" customHeight="1" thickBot="1">
      <c r="A281" s="81">
        <v>280</v>
      </c>
      <c r="B281" s="22">
        <v>11</v>
      </c>
      <c r="C281" s="22" t="s">
        <v>154</v>
      </c>
      <c r="D281" s="24" t="s">
        <v>374</v>
      </c>
      <c r="E281" s="81" t="s">
        <v>113</v>
      </c>
      <c r="F281" s="23"/>
      <c r="G281" s="23"/>
      <c r="H281" s="25"/>
      <c r="I281" s="55"/>
      <c r="J281" s="39"/>
      <c r="K281" s="40"/>
      <c r="L281" s="41"/>
      <c r="M281" s="22" t="s">
        <v>195</v>
      </c>
      <c r="N281" s="22" t="s">
        <v>200</v>
      </c>
      <c r="O281" s="70"/>
      <c r="P281" s="40"/>
      <c r="Q281" s="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spans="1:36" s="6" customFormat="1" ht="23.5" customHeight="1" thickBot="1">
      <c r="A282" s="22">
        <v>281</v>
      </c>
      <c r="B282" s="22">
        <v>11</v>
      </c>
      <c r="C282" s="22" t="s">
        <v>154</v>
      </c>
      <c r="D282" s="24" t="s">
        <v>341</v>
      </c>
      <c r="E282" s="81" t="s">
        <v>335</v>
      </c>
      <c r="F282" s="23"/>
      <c r="G282" s="23"/>
      <c r="H282" s="25"/>
      <c r="I282" s="55"/>
      <c r="J282" s="39"/>
      <c r="K282" s="40"/>
      <c r="L282" s="41"/>
      <c r="M282" s="22" t="s">
        <v>196</v>
      </c>
      <c r="N282" s="22" t="s">
        <v>192</v>
      </c>
      <c r="O282" s="70">
        <v>484000</v>
      </c>
      <c r="P282" s="40"/>
      <c r="Q282" s="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spans="1:36" s="14" customFormat="1" ht="23.5" customHeight="1" thickBot="1">
      <c r="A283" s="8" t="s">
        <v>4</v>
      </c>
      <c r="B283" s="198"/>
      <c r="C283" s="198"/>
      <c r="D283" s="198"/>
      <c r="E283" s="8"/>
      <c r="F283" s="8"/>
      <c r="G283" s="8"/>
      <c r="H283" s="8"/>
      <c r="I283" s="8"/>
      <c r="J283" s="9">
        <f>SUM(J2:J282)</f>
        <v>292457100.33333331</v>
      </c>
      <c r="K283" s="9"/>
      <c r="L283" s="9">
        <f>SUM(L2:L282)</f>
        <v>2256320</v>
      </c>
      <c r="M283" s="9"/>
      <c r="N283" s="9"/>
      <c r="O283" s="71">
        <f>SUM(O2:O282)</f>
        <v>721748191.33333337</v>
      </c>
      <c r="P283" s="9"/>
      <c r="Q283" s="12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 s="6" customFormat="1" ht="21.5" customHeight="1" thickBot="1">
      <c r="A284" s="79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113"/>
      <c r="P284" s="7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spans="1:36" s="2" customFormat="1" ht="16" thickBot="1">
      <c r="A285" s="5"/>
      <c r="B285" s="5"/>
      <c r="C285" s="5"/>
      <c r="D285" s="199"/>
      <c r="E285" s="3"/>
      <c r="F285" s="3"/>
      <c r="G285" s="10"/>
      <c r="H285" s="11"/>
      <c r="I285" s="1"/>
      <c r="J285" s="42"/>
      <c r="K285" s="1"/>
      <c r="L285" s="11"/>
      <c r="M285" s="11"/>
      <c r="N285" s="11"/>
      <c r="O285" s="72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>
      <c r="N286" s="122"/>
      <c r="O286" s="125"/>
      <c r="P286" s="122"/>
      <c r="Q286" s="122"/>
    </row>
    <row r="287" spans="1:36">
      <c r="N287" s="126"/>
      <c r="O287" s="127"/>
      <c r="P287" s="122"/>
      <c r="Q287" s="122"/>
    </row>
    <row r="288" spans="1:36">
      <c r="N288" s="126"/>
      <c r="O288" s="125"/>
      <c r="P288" s="122"/>
      <c r="Q288" s="122"/>
    </row>
    <row r="289" spans="14:17">
      <c r="N289" s="126"/>
      <c r="O289" s="127"/>
      <c r="P289" s="122"/>
      <c r="Q289" s="122"/>
    </row>
    <row r="290" spans="14:17">
      <c r="N290" s="126"/>
      <c r="O290" s="125"/>
      <c r="P290" s="122"/>
      <c r="Q290" s="122"/>
    </row>
    <row r="292" spans="14:17">
      <c r="O292" s="129"/>
    </row>
    <row r="293" spans="14:17">
      <c r="O293" s="130"/>
    </row>
  </sheetData>
  <autoFilter ref="A1:O292" xr:uid="{E1CEA63D-9E7C-40E1-BF58-F2DC9B45D3FB}"/>
  <mergeCells count="4">
    <mergeCell ref="P147:P148"/>
    <mergeCell ref="P153:P155"/>
    <mergeCell ref="P156:P157"/>
    <mergeCell ref="P168:P1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THU</vt:lpstr>
      <vt:lpstr>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ASUS</dc:creator>
  <cp:lastModifiedBy>nguyen nhat</cp:lastModifiedBy>
  <dcterms:created xsi:type="dcterms:W3CDTF">2025-10-31T02:13:50Z</dcterms:created>
  <dcterms:modified xsi:type="dcterms:W3CDTF">2025-11-28T02:19:19Z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5D41C50FA881463480C470C48059B913_11</vt:lpwstr>
  </property>
  <property fmtid="{D5CDD505-2E9C-101B-9397-08002B2CF9AE}" pid="3" name="KSOProductBuildVer">
    <vt:lpwstr>1033-12.2.0.23131</vt:lpwstr>
  </property>
</Properties>
</file>